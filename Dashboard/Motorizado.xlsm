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kald\Downloads\PROYECTOS\PORTAFOLIO_PERSONAL\Proyectos\EXCEL\Motorizado\Dashboard\"/>
    </mc:Choice>
  </mc:AlternateContent>
  <xr:revisionPtr revIDLastSave="0" documentId="13_ncr:1_{C7E671D1-FF1E-4E19-9A8C-272B155190FD}" xr6:coauthVersionLast="47" xr6:coauthVersionMax="47" xr10:uidLastSave="{00000000-0000-0000-0000-000000000000}"/>
  <bookViews>
    <workbookView xWindow="-108" yWindow="-108" windowWidth="23256" windowHeight="13896" xr2:uid="{D06F6812-EF1B-4212-9BA4-0DAC52B2E151}"/>
  </bookViews>
  <sheets>
    <sheet name="Formulario" sheetId="2" r:id="rId1"/>
    <sheet name="Registro" sheetId="3" r:id="rId2"/>
    <sheet name="Dashboard" sheetId="4" r:id="rId3"/>
    <sheet name="Categoria" sheetId="1" state="hidden" r:id="rId4"/>
    <sheet name="imagenes" sheetId="5" state="hidden" r:id="rId5"/>
  </sheets>
  <definedNames>
    <definedName name="_xlchart.v2.0" hidden="1">Categoria!$P$20:$P$24</definedName>
    <definedName name="_xlchart.v2.1" hidden="1">Categoria!$Q$20:$Q$24</definedName>
    <definedName name="_xlchart.v2.2" hidden="1">Categoria!$P$20:$P$24</definedName>
    <definedName name="_xlchart.v2.3" hidden="1">Categoria!$Q$20:$Q$24</definedName>
    <definedName name="_xleta.INDIRECT" hidden="1" xlm="1">#NAME?</definedName>
    <definedName name="altoke">imagenes!$A$2</definedName>
    <definedName name="buscador">INDIRECT(Categoria!$I$36)</definedName>
    <definedName name="entregas">Entregas_[Entregas]</definedName>
    <definedName name="escorpio">imagenes!$A$3</definedName>
    <definedName name="motorizado">moto[Motorizado]</definedName>
    <definedName name="otros">imagenes!$A$5</definedName>
    <definedName name="productos">PRODUCTOS_[Productos]</definedName>
    <definedName name="rappi">imagenes!$A$1</definedName>
    <definedName name="rayo">imagenes!$A$4</definedName>
    <definedName name="SegmentaciónDeDatos_Dia">#N/A</definedName>
    <definedName name="SegmentaciónDeDatos_Mes">#N/A</definedName>
    <definedName name="SegmentaciónDeDatos_Motorizado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1" l="1"/>
  <c r="M81" i="1" s="1"/>
  <c r="P21" i="1"/>
  <c r="Q21" i="1"/>
  <c r="P22" i="1"/>
  <c r="Q22" i="1"/>
  <c r="P23" i="1"/>
  <c r="Q23" i="1"/>
  <c r="P24" i="1"/>
  <c r="Q24" i="1"/>
  <c r="Q20" i="1"/>
  <c r="P20" i="1"/>
  <c r="N79" i="1"/>
  <c r="O79" i="1" s="1"/>
  <c r="N78" i="1"/>
  <c r="N75" i="1"/>
  <c r="N76" i="1"/>
  <c r="N77" i="1"/>
  <c r="N74" i="1"/>
  <c r="C58" i="1"/>
  <c r="R57" i="1"/>
  <c r="Q57" i="1"/>
  <c r="P47" i="1"/>
  <c r="P37" i="1"/>
  <c r="D56" i="1"/>
  <c r="B3" i="3"/>
  <c r="D3" i="3"/>
  <c r="B4" i="3"/>
  <c r="D4" i="3"/>
  <c r="B5" i="3"/>
  <c r="D5" i="3"/>
  <c r="B6" i="3"/>
  <c r="D6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C56" i="1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C43" i="1"/>
  <c r="C42" i="1"/>
  <c r="O75" i="1" l="1"/>
  <c r="O74" i="1"/>
  <c r="O77" i="1"/>
  <c r="O76" i="1"/>
  <c r="O78" i="1"/>
  <c r="N81" i="1" l="1"/>
</calcChain>
</file>

<file path=xl/sharedStrings.xml><?xml version="1.0" encoding="utf-8"?>
<sst xmlns="http://schemas.openxmlformats.org/spreadsheetml/2006/main" count="306" uniqueCount="63">
  <si>
    <t>Mes</t>
  </si>
  <si>
    <t>Fecha</t>
  </si>
  <si>
    <t>Dia</t>
  </si>
  <si>
    <t>Otros</t>
  </si>
  <si>
    <t xml:space="preserve"> </t>
  </si>
  <si>
    <t>Motorizado</t>
  </si>
  <si>
    <t>Rappi Manchay</t>
  </si>
  <si>
    <t>Altoke</t>
  </si>
  <si>
    <t>Escorpio</t>
  </si>
  <si>
    <t>Rayo</t>
  </si>
  <si>
    <t>Cant. Entregas</t>
  </si>
  <si>
    <t>Total Cobro</t>
  </si>
  <si>
    <t>Fecha Mov.</t>
  </si>
  <si>
    <t>Etiquetas de fila</t>
  </si>
  <si>
    <t>Total general</t>
  </si>
  <si>
    <t>Suma de Total Cobro</t>
  </si>
  <si>
    <t>barras</t>
  </si>
  <si>
    <t>Ene</t>
  </si>
  <si>
    <t>Feb</t>
  </si>
  <si>
    <t>Mar</t>
  </si>
  <si>
    <t>grafico de lineas</t>
  </si>
  <si>
    <t>general</t>
  </si>
  <si>
    <t>Cant. Total Entrega</t>
  </si>
  <si>
    <t>Top 1</t>
  </si>
  <si>
    <t xml:space="preserve">Promedio </t>
  </si>
  <si>
    <t>En promedio cuantas entregas se hicieron al mes</t>
  </si>
  <si>
    <t>Imgenes dinamicas</t>
  </si>
  <si>
    <t>valor id</t>
  </si>
  <si>
    <t>productos</t>
  </si>
  <si>
    <t>altoke</t>
  </si>
  <si>
    <t>escorpio</t>
  </si>
  <si>
    <t>otros</t>
  </si>
  <si>
    <t>rayo</t>
  </si>
  <si>
    <t>rappi</t>
  </si>
  <si>
    <t>Productos</t>
  </si>
  <si>
    <t>Entregas</t>
  </si>
  <si>
    <t>Entrega Nº</t>
  </si>
  <si>
    <t>Cuenta de Entrega Nº</t>
  </si>
  <si>
    <t>analisis diario</t>
  </si>
  <si>
    <t>total cobro</t>
  </si>
  <si>
    <t>Total cobtro</t>
  </si>
  <si>
    <t>Máx. de Total Cobro</t>
  </si>
  <si>
    <t>Mín. de Total Cobro</t>
  </si>
  <si>
    <t>Maximo y Minimo</t>
  </si>
  <si>
    <t>Max</t>
  </si>
  <si>
    <t>Min</t>
  </si>
  <si>
    <t>Porcentaje</t>
  </si>
  <si>
    <t>total</t>
  </si>
  <si>
    <t>Monto</t>
  </si>
  <si>
    <t>Producto</t>
  </si>
  <si>
    <t>Alitas</t>
  </si>
  <si>
    <t>Brosters</t>
  </si>
  <si>
    <t>Salchipapas</t>
  </si>
  <si>
    <t>Conos</t>
  </si>
  <si>
    <t>Rancheras</t>
  </si>
  <si>
    <t>Postres</t>
  </si>
  <si>
    <t>Bebidas</t>
  </si>
  <si>
    <t>Postre</t>
  </si>
  <si>
    <t>Ranchera</t>
  </si>
  <si>
    <t>Monto por Motorizado</t>
  </si>
  <si>
    <t>Linea de tendencia Mensual</t>
  </si>
  <si>
    <t>Embudo</t>
  </si>
  <si>
    <t>Entregas por Motorizado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</si>
</sst>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S/&quot;\ #,##0.00"/>
    <numFmt numFmtId="165" formatCode="_-[$S/-280A]\ * #,##0.00_-;\-[$S/-280A]\ * #,##0.00_-;_-[$S/-280A]\ * &quot;-&quot;??_-;_-@_-"/>
  </numFmts>
  <fonts count="4" x14ac:knownFonts="1">
    <font>
      <sz val="11"/>
      <color theme="1"/>
      <name val="Aptos Narrow"/>
      <family val="2"/>
      <scheme val="minor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BF49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1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2" borderId="0" xfId="0" applyFill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/>
    <xf numFmtId="0" fontId="0" fillId="6" borderId="0" xfId="0" applyFill="1" applyAlignment="1">
      <alignment horizontal="left"/>
    </xf>
    <xf numFmtId="165" fontId="0" fillId="0" borderId="0" xfId="0" applyNumberFormat="1"/>
    <xf numFmtId="0" fontId="0" fillId="4" borderId="0" xfId="0" applyFill="1"/>
    <xf numFmtId="0" fontId="0" fillId="6" borderId="0" xfId="0" applyFill="1"/>
    <xf numFmtId="9" fontId="0" fillId="0" borderId="0" xfId="1" applyFont="1"/>
    <xf numFmtId="0" fontId="0" fillId="7" borderId="0" xfId="0" applyFill="1"/>
    <xf numFmtId="9" fontId="0" fillId="7" borderId="0" xfId="1" applyFont="1" applyFill="1"/>
    <xf numFmtId="0" fontId="2" fillId="8" borderId="0" xfId="0" applyFont="1" applyFill="1"/>
    <xf numFmtId="0" fontId="1" fillId="8" borderId="0" xfId="0" applyFont="1" applyFill="1"/>
    <xf numFmtId="0" fontId="0" fillId="0" borderId="0" xfId="0" applyNumberFormat="1"/>
  </cellXfs>
  <cellStyles count="2">
    <cellStyle name="Normal" xfId="0" builtinId="0"/>
    <cellStyle name="Porcentaje" xfId="1" builtinId="5"/>
  </cellStyles>
  <dxfs count="1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S/&quot;\ #,##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&quot;S/&quot;\ #,##0.00"/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numFmt numFmtId="164" formatCode="&quot;S/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z val="14"/>
        <color theme="1"/>
      </font>
      <border>
        <bottom style="thin">
          <color theme="5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4"/>
        <color theme="1"/>
      </font>
      <border>
        <bottom style="thin">
          <color theme="5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</dxfs>
  <tableStyles count="2" defaultTableStyle="TableStyleMedium2" defaultPivotStyle="PivotStyleLight16">
    <tableStyle name="SlicerStyleDark2 2" pivot="0" table="0" count="10" xr9:uid="{C150E1F6-7CBE-43CF-9278-63540497752F}">
      <tableStyleElement type="wholeTable" dxfId="13"/>
      <tableStyleElement type="headerRow" dxfId="12"/>
    </tableStyle>
    <tableStyle name="SlicerStyleDark2 2 2" pivot="0" table="0" count="10" xr9:uid="{E830649B-CB95-4395-96C2-3B722104A2EB}">
      <tableStyleElement type="wholeTable" dxfId="11"/>
      <tableStyleElement type="headerRow" dxfId="10"/>
    </tableStyle>
  </tableStyles>
  <colors>
    <mruColors>
      <color rgb="FFFCBF49"/>
      <color rgb="FFD62828"/>
      <color rgb="FFF77F00"/>
      <color rgb="FFF9C031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b val="0"/>
            <i val="0"/>
            <sz val="11"/>
            <color theme="0"/>
          </font>
          <fill>
            <patternFill patternType="solid">
              <fgColor theme="5"/>
              <bgColor theme="5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b val="0"/>
            <i val="0"/>
            <sz val="11"/>
            <color theme="0"/>
          </font>
          <fill>
            <patternFill patternType="solid">
              <fgColor theme="5"/>
              <bgColor theme="5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2 2">
        <x14:slicerStyle name="SlicerStyleDark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2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[Motorizado.xlsm]Categoria!barras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77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Categoria!$D$19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77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Categoria!$C$20:$C$25</c:f>
              <c:strCache>
                <c:ptCount val="5"/>
                <c:pt idx="0">
                  <c:v>Otros</c:v>
                </c:pt>
                <c:pt idx="1">
                  <c:v>Altoke</c:v>
                </c:pt>
                <c:pt idx="2">
                  <c:v>Rayo</c:v>
                </c:pt>
                <c:pt idx="3">
                  <c:v>Rappi Manchay</c:v>
                </c:pt>
                <c:pt idx="4">
                  <c:v>Escorpio</c:v>
                </c:pt>
              </c:strCache>
            </c:strRef>
          </c:cat>
          <c:val>
            <c:numRef>
              <c:f>Categoria!$D$20:$D$25</c:f>
              <c:numCache>
                <c:formatCode>"S/"\ #,##0.00</c:formatCode>
                <c:ptCount val="5"/>
                <c:pt idx="0">
                  <c:v>33</c:v>
                </c:pt>
                <c:pt idx="1">
                  <c:v>57</c:v>
                </c:pt>
                <c:pt idx="2">
                  <c:v>60</c:v>
                </c:pt>
                <c:pt idx="3">
                  <c:v>101</c:v>
                </c:pt>
                <c:pt idx="4">
                  <c:v>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94-48E7-976D-A5600831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04535712"/>
        <c:axId val="1104536192"/>
      </c:barChart>
      <c:catAx>
        <c:axId val="110453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04536192"/>
        <c:crosses val="autoZero"/>
        <c:auto val="1"/>
        <c:lblAlgn val="ctr"/>
        <c:lblOffset val="100"/>
        <c:noMultiLvlLbl val="0"/>
      </c:catAx>
      <c:valAx>
        <c:axId val="1104536192"/>
        <c:scaling>
          <c:orientation val="minMax"/>
        </c:scaling>
        <c:delete val="1"/>
        <c:axPos val="l"/>
        <c:numFmt formatCode="&quot;S/&quot;\ #,##0.00" sourceLinked="1"/>
        <c:majorTickMark val="none"/>
        <c:minorTickMark val="none"/>
        <c:tickLblPos val="nextTo"/>
        <c:crossAx val="1104535712"/>
        <c:crosses val="autoZero"/>
        <c:crossBetween val="between"/>
      </c:valAx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[Motorizado.xlsm]Categoria!lineas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77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F77F0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2364332259303629E-2"/>
              <c:y val="-6.21641311392800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F77F00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rgbClr val="F77F0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1.6196172347111605E-2"/>
          <c:y val="5.5762125729239248E-2"/>
          <c:w val="0.98191287232496238"/>
          <c:h val="0.85365329737897744"/>
        </c:manualLayout>
      </c:layout>
      <c:lineChart>
        <c:grouping val="standard"/>
        <c:varyColors val="0"/>
        <c:ser>
          <c:idx val="0"/>
          <c:order val="0"/>
          <c:tx>
            <c:strRef>
              <c:f>Categoria!$I$19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77F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77F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071-4942-9F87-22B8E1E39E5F}"/>
              </c:ext>
            </c:extLst>
          </c:dPt>
          <c:dLbls>
            <c:dLbl>
              <c:idx val="1"/>
              <c:layout>
                <c:manualLayout>
                  <c:x val="-6.2364332259303629E-2"/>
                  <c:y val="-6.2164131139280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71-4942-9F87-22B8E1E39E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Categoria!$H$20:$H$23</c:f>
              <c:strCache>
                <c:ptCount val="3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Categoria!$I$20:$I$23</c:f>
              <c:numCache>
                <c:formatCode>"S/"\ #,##0.00</c:formatCode>
                <c:ptCount val="3"/>
                <c:pt idx="0">
                  <c:v>457</c:v>
                </c:pt>
                <c:pt idx="1">
                  <c:v>521.25</c:v>
                </c:pt>
                <c:pt idx="2">
                  <c:v>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5C-4A16-8794-F01D4AF653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53586896"/>
        <c:axId val="1253589776"/>
      </c:lineChart>
      <c:catAx>
        <c:axId val="125358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53589776"/>
        <c:crosses val="autoZero"/>
        <c:auto val="1"/>
        <c:lblAlgn val="ctr"/>
        <c:lblOffset val="100"/>
        <c:noMultiLvlLbl val="0"/>
      </c:catAx>
      <c:valAx>
        <c:axId val="1253589776"/>
        <c:scaling>
          <c:orientation val="minMax"/>
          <c:max val="600"/>
          <c:min val="400"/>
        </c:scaling>
        <c:delete val="1"/>
        <c:axPos val="l"/>
        <c:numFmt formatCode="&quot;S/&quot;\ #,##0.00" sourceLinked="1"/>
        <c:majorTickMark val="none"/>
        <c:minorTickMark val="none"/>
        <c:tickLblPos val="nextTo"/>
        <c:crossAx val="125358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plotArea>
      <cx:plotAreaRegion>
        <cx:series layoutId="funnel" uniqueId="{2207138A-10D4-47F6-9081-61A17A767C53}">
          <cx:spPr>
            <a:solidFill>
              <a:srgbClr val="F77F00"/>
            </a:solidFill>
          </cx:spPr>
          <cx:dataLabels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 b="1">
                    <a:solidFill>
                      <a:schemeClr val="bg1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 sz="1400" b="1" i="0" u="none" strike="noStrike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/>
            </a:pPr>
            <a:endParaRPr lang="es-ES" sz="10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5.emf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11" Type="http://schemas.openxmlformats.org/officeDocument/2006/relationships/chart" Target="../charts/chart2.xml"/><Relationship Id="rId5" Type="http://schemas.openxmlformats.org/officeDocument/2006/relationships/image" Target="../media/image11.png"/><Relationship Id="rId10" Type="http://schemas.openxmlformats.org/officeDocument/2006/relationships/chart" Target="../charts/chart1.xml"/><Relationship Id="rId4" Type="http://schemas.openxmlformats.org/officeDocument/2006/relationships/image" Target="../media/image10.svg"/><Relationship Id="rId9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7.png"/><Relationship Id="rId5" Type="http://schemas.openxmlformats.org/officeDocument/2006/relationships/image" Target="../media/image21.jpeg"/><Relationship Id="rId4" Type="http://schemas.openxmlformats.org/officeDocument/2006/relationships/image" Target="../media/image2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784860</xdr:colOff>
      <xdr:row>6</xdr:row>
      <xdr:rowOff>0</xdr:rowOff>
    </xdr:from>
    <xdr:to>
      <xdr:col>8</xdr:col>
      <xdr:colOff>769620</xdr:colOff>
      <xdr:row>12</xdr:row>
      <xdr:rowOff>480060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24CA94F4-E17A-4D0E-A81B-B15CFA76B77B}"/>
            </a:ext>
          </a:extLst>
        </xdr:cNvPr>
        <xdr:cNvSpPr/>
      </xdr:nvSpPr>
      <xdr:spPr>
        <a:xfrm>
          <a:off x="1577340" y="1607820"/>
          <a:ext cx="9692640" cy="3497580"/>
        </a:xfrm>
        <a:prstGeom prst="rect">
          <a:avLst/>
        </a:prstGeom>
        <a:noFill/>
        <a:ln>
          <a:solidFill>
            <a:srgbClr val="D62828"/>
          </a:solidFill>
        </a:ln>
        <a:effectLst>
          <a:glow rad="63500"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kern="1200"/>
        </a:p>
      </xdr:txBody>
    </xdr:sp>
    <xdr:clientData/>
  </xdr:twoCellAnchor>
  <xdr:twoCellAnchor>
    <xdr:from>
      <xdr:col>4</xdr:col>
      <xdr:colOff>350520</xdr:colOff>
      <xdr:row>4</xdr:row>
      <xdr:rowOff>83820</xdr:rowOff>
    </xdr:from>
    <xdr:to>
      <xdr:col>7</xdr:col>
      <xdr:colOff>342900</xdr:colOff>
      <xdr:row>6</xdr:row>
      <xdr:rowOff>38100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F22CA61D-BF00-4A06-A7AE-7D6258ABEAAE}"/>
            </a:ext>
          </a:extLst>
        </xdr:cNvPr>
        <xdr:cNvSpPr txBox="1"/>
      </xdr:nvSpPr>
      <xdr:spPr>
        <a:xfrm>
          <a:off x="4320540" y="967740"/>
          <a:ext cx="4831080" cy="67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ES" sz="3600" b="1" kern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"Control de</a:t>
          </a:r>
          <a:r>
            <a:rPr lang="es-ES" sz="3600" b="1" kern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Pedidos"</a:t>
          </a:r>
          <a:endParaRPr lang="es-ES" sz="3600" b="1" kern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716282</xdr:colOff>
      <xdr:row>12</xdr:row>
      <xdr:rowOff>220980</xdr:rowOff>
    </xdr:from>
    <xdr:to>
      <xdr:col>4</xdr:col>
      <xdr:colOff>876303</xdr:colOff>
      <xdr:row>14</xdr:row>
      <xdr:rowOff>68580</xdr:rowOff>
    </xdr:to>
    <xdr:sp macro="[0]!guarda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9EE9A542-4D15-FADB-9275-83C55CD3EFA4}"/>
            </a:ext>
          </a:extLst>
        </xdr:cNvPr>
        <xdr:cNvSpPr/>
      </xdr:nvSpPr>
      <xdr:spPr>
        <a:xfrm>
          <a:off x="3093722" y="4846320"/>
          <a:ext cx="1752601" cy="571500"/>
        </a:xfrm>
        <a:prstGeom prst="roundRect">
          <a:avLst/>
        </a:prstGeom>
        <a:solidFill>
          <a:srgbClr val="D62828"/>
        </a:solidFill>
        <a:ln>
          <a:noFill/>
        </a:ln>
        <a:effectLst>
          <a:glow rad="63500"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400" b="1" kern="1200">
              <a:latin typeface="Arial" panose="020B0604020202020204" pitchFamily="34" charset="0"/>
              <a:cs typeface="Arial" panose="020B0604020202020204" pitchFamily="34" charset="0"/>
            </a:rPr>
            <a:t>GUARDAR</a:t>
          </a:r>
          <a:endParaRPr lang="es-ES" sz="1100" b="1" kern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844008</xdr:colOff>
      <xdr:row>12</xdr:row>
      <xdr:rowOff>266700</xdr:rowOff>
    </xdr:from>
    <xdr:to>
      <xdr:col>3</xdr:col>
      <xdr:colOff>1353097</xdr:colOff>
      <xdr:row>14</xdr:row>
      <xdr:rowOff>7620</xdr:rowOff>
    </xdr:to>
    <xdr:pic macro="[0]!guardado">
      <xdr:nvPicPr>
        <xdr:cNvPr id="7" name="Gráfico 6" descr="Descargar con relleno sólido">
          <a:extLst>
            <a:ext uri="{FF2B5EF4-FFF2-40B4-BE49-F238E27FC236}">
              <a16:creationId xmlns:a16="http://schemas.microsoft.com/office/drawing/2014/main" id="{B46D0AD6-7B92-4C37-4FBA-ECE1B7E38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221448" y="4892040"/>
          <a:ext cx="509089" cy="464820"/>
        </a:xfrm>
        <a:prstGeom prst="rect">
          <a:avLst/>
        </a:prstGeom>
      </xdr:spPr>
    </xdr:pic>
    <xdr:clientData/>
  </xdr:twoCellAnchor>
  <xdr:twoCellAnchor>
    <xdr:from>
      <xdr:col>5</xdr:col>
      <xdr:colOff>236220</xdr:colOff>
      <xdr:row>12</xdr:row>
      <xdr:rowOff>190500</xdr:rowOff>
    </xdr:from>
    <xdr:to>
      <xdr:col>6</xdr:col>
      <xdr:colOff>60960</xdr:colOff>
      <xdr:row>14</xdr:row>
      <xdr:rowOff>38100</xdr:rowOff>
    </xdr:to>
    <xdr:sp macro="[0]!limpiar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F5EBE5AB-C9D9-6A3E-768B-A57E51A68918}"/>
            </a:ext>
          </a:extLst>
        </xdr:cNvPr>
        <xdr:cNvSpPr/>
      </xdr:nvSpPr>
      <xdr:spPr>
        <a:xfrm>
          <a:off x="5791200" y="4815840"/>
          <a:ext cx="1501140" cy="571500"/>
        </a:xfrm>
        <a:prstGeom prst="roundRect">
          <a:avLst/>
        </a:prstGeom>
        <a:solidFill>
          <a:srgbClr val="D62828"/>
        </a:solidFill>
        <a:ln>
          <a:noFill/>
        </a:ln>
        <a:effectLst>
          <a:glow rad="63500"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400" b="1" kern="1200">
              <a:latin typeface="Arial" panose="020B0604020202020204" pitchFamily="34" charset="0"/>
              <a:cs typeface="Arial" panose="020B0604020202020204" pitchFamily="34" charset="0"/>
            </a:rPr>
            <a:t>LIMPIAR</a:t>
          </a:r>
          <a:endParaRPr lang="es-ES" sz="1100" b="1" kern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346746</xdr:colOff>
      <xdr:row>12</xdr:row>
      <xdr:rowOff>236220</xdr:rowOff>
    </xdr:from>
    <xdr:to>
      <xdr:col>5</xdr:col>
      <xdr:colOff>782791</xdr:colOff>
      <xdr:row>13</xdr:row>
      <xdr:rowOff>198120</xdr:rowOff>
    </xdr:to>
    <xdr:pic macro="[0]!limpiar">
      <xdr:nvPicPr>
        <xdr:cNvPr id="10" name="Gráfico 9" descr="Basura con relleno sólido">
          <a:extLst>
            <a:ext uri="{FF2B5EF4-FFF2-40B4-BE49-F238E27FC236}">
              <a16:creationId xmlns:a16="http://schemas.microsoft.com/office/drawing/2014/main" id="{4E05202F-898C-B3FE-D72C-D343AB287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5901726" y="4861560"/>
          <a:ext cx="436045" cy="464820"/>
        </a:xfrm>
        <a:prstGeom prst="rect">
          <a:avLst/>
        </a:prstGeom>
      </xdr:spPr>
    </xdr:pic>
    <xdr:clientData/>
  </xdr:twoCellAnchor>
  <xdr:twoCellAnchor>
    <xdr:from>
      <xdr:col>6</xdr:col>
      <xdr:colOff>1005840</xdr:colOff>
      <xdr:row>12</xdr:row>
      <xdr:rowOff>182880</xdr:rowOff>
    </xdr:from>
    <xdr:to>
      <xdr:col>7</xdr:col>
      <xdr:colOff>1028700</xdr:colOff>
      <xdr:row>14</xdr:row>
      <xdr:rowOff>30480</xdr:rowOff>
    </xdr:to>
    <xdr:sp macro="[0]!_xludf.error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33D653C-16B9-452A-1198-8AE9896B4700}"/>
            </a:ext>
          </a:extLst>
        </xdr:cNvPr>
        <xdr:cNvSpPr/>
      </xdr:nvSpPr>
      <xdr:spPr>
        <a:xfrm>
          <a:off x="8237220" y="4808220"/>
          <a:ext cx="1600200" cy="571500"/>
        </a:xfrm>
        <a:prstGeom prst="roundRect">
          <a:avLst/>
        </a:prstGeom>
        <a:solidFill>
          <a:srgbClr val="D62828"/>
        </a:solidFill>
        <a:ln>
          <a:noFill/>
        </a:ln>
        <a:effectLst>
          <a:glow rad="63500"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400" b="1" kern="1200">
              <a:latin typeface="Arial" panose="020B0604020202020204" pitchFamily="34" charset="0"/>
              <a:cs typeface="Arial" panose="020B0604020202020204" pitchFamily="34" charset="0"/>
            </a:rPr>
            <a:t>ERROR</a:t>
          </a:r>
        </a:p>
      </xdr:txBody>
    </xdr:sp>
    <xdr:clientData/>
  </xdr:twoCellAnchor>
  <xdr:twoCellAnchor>
    <xdr:from>
      <xdr:col>6</xdr:col>
      <xdr:colOff>1234440</xdr:colOff>
      <xdr:row>12</xdr:row>
      <xdr:rowOff>281940</xdr:rowOff>
    </xdr:from>
    <xdr:to>
      <xdr:col>7</xdr:col>
      <xdr:colOff>45720</xdr:colOff>
      <xdr:row>13</xdr:row>
      <xdr:rowOff>167640</xdr:rowOff>
    </xdr:to>
    <xdr:pic macro="[0]!_xludf.error">
      <xdr:nvPicPr>
        <xdr:cNvPr id="24" name="Gráfico 23" descr="Cerrar con relleno sólido">
          <a:extLst>
            <a:ext uri="{FF2B5EF4-FFF2-40B4-BE49-F238E27FC236}">
              <a16:creationId xmlns:a16="http://schemas.microsoft.com/office/drawing/2014/main" id="{A573C219-A0A9-DB28-4E91-58C23F50F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65820" y="4907280"/>
          <a:ext cx="388620" cy="388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299695</xdr:colOff>
      <xdr:row>0</xdr:row>
      <xdr:rowOff>132231</xdr:rowOff>
    </xdr:from>
    <xdr:to>
      <xdr:col>5</xdr:col>
      <xdr:colOff>43703</xdr:colOff>
      <xdr:row>50</xdr:row>
      <xdr:rowOff>54430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2F440604-A74F-41E4-9B8C-FCAE685536E9}"/>
            </a:ext>
          </a:extLst>
        </xdr:cNvPr>
        <xdr:cNvSpPr/>
      </xdr:nvSpPr>
      <xdr:spPr>
        <a:xfrm>
          <a:off x="299695" y="132231"/>
          <a:ext cx="3717294" cy="9175056"/>
        </a:xfrm>
        <a:prstGeom prst="roundRect">
          <a:avLst/>
        </a:prstGeom>
        <a:solidFill>
          <a:srgbClr val="F77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kern="1200">
            <a:solidFill>
              <a:schemeClr val="tx1"/>
            </a:solidFill>
            <a:latin typeface="Montserrat ExtraBold" panose="00000900000000000000" pitchFamily="2" charset="0"/>
          </a:endParaRPr>
        </a:p>
      </xdr:txBody>
    </xdr:sp>
    <xdr:clientData/>
  </xdr:twoCellAnchor>
  <xdr:twoCellAnchor>
    <xdr:from>
      <xdr:col>1</xdr:col>
      <xdr:colOff>439685</xdr:colOff>
      <xdr:row>9</xdr:row>
      <xdr:rowOff>22809</xdr:rowOff>
    </xdr:from>
    <xdr:to>
      <xdr:col>3</xdr:col>
      <xdr:colOff>775412</xdr:colOff>
      <xdr:row>12</xdr:row>
      <xdr:rowOff>83406</xdr:rowOff>
    </xdr:to>
    <xdr:sp macro="[0]!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39DD348-727D-43D0-B613-AB1E4044CE08}"/>
            </a:ext>
          </a:extLst>
        </xdr:cNvPr>
        <xdr:cNvSpPr/>
      </xdr:nvSpPr>
      <xdr:spPr>
        <a:xfrm>
          <a:off x="1234342" y="1688323"/>
          <a:ext cx="1925041" cy="615769"/>
        </a:xfrm>
        <a:prstGeom prst="roundRect">
          <a:avLst/>
        </a:prstGeom>
        <a:solidFill>
          <a:srgbClr val="F9C03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1400" b="1" kern="120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ACTUALIZAR</a:t>
          </a:r>
          <a:endParaRPr lang="es-ES" sz="1600" b="1" kern="1200">
            <a:solidFill>
              <a:schemeClr val="bg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748926</xdr:colOff>
      <xdr:row>1</xdr:row>
      <xdr:rowOff>24332</xdr:rowOff>
    </xdr:from>
    <xdr:to>
      <xdr:col>4</xdr:col>
      <xdr:colOff>460404</xdr:colOff>
      <xdr:row>9</xdr:row>
      <xdr:rowOff>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4E0F64FE-7553-4222-A834-DBBB7D24AD9F}"/>
            </a:ext>
          </a:extLst>
        </xdr:cNvPr>
        <xdr:cNvSpPr txBox="1"/>
      </xdr:nvSpPr>
      <xdr:spPr>
        <a:xfrm>
          <a:off x="748926" y="209389"/>
          <a:ext cx="2890107" cy="1456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ES" sz="3000" b="1" kern="1200" baseline="0">
              <a:solidFill>
                <a:schemeClr val="bg1"/>
              </a:solidFill>
              <a:latin typeface="Montserrat ExtraBold" panose="00000900000000000000" pitchFamily="2" charset="0"/>
              <a:cs typeface="Arial" panose="020B0604020202020204" pitchFamily="34" charset="0"/>
            </a:rPr>
            <a:t>Dashboard</a:t>
          </a:r>
          <a:endParaRPr lang="es-ES" sz="3200" b="0" kern="0" baseline="0">
            <a:solidFill>
              <a:schemeClr val="tx1"/>
            </a:solidFill>
            <a:latin typeface="+mn-lt"/>
            <a:cs typeface="+mn-cs"/>
          </a:endParaRPr>
        </a:p>
        <a:p>
          <a:pPr algn="ctr"/>
          <a:r>
            <a:rPr lang="es-ES" sz="3000" b="1" kern="12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Arial" panose="020B0604020202020204" pitchFamily="34" charset="0"/>
            </a:rPr>
            <a:t>Motorizados</a:t>
          </a:r>
        </a:p>
      </xdr:txBody>
    </xdr:sp>
    <xdr:clientData/>
  </xdr:twoCellAnchor>
  <xdr:twoCellAnchor editAs="oneCell">
    <xdr:from>
      <xdr:col>1</xdr:col>
      <xdr:colOff>99059</xdr:colOff>
      <xdr:row>20</xdr:row>
      <xdr:rowOff>129541</xdr:rowOff>
    </xdr:from>
    <xdr:to>
      <xdr:col>3</xdr:col>
      <xdr:colOff>762000</xdr:colOff>
      <xdr:row>24</xdr:row>
      <xdr:rowOff>108859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ia">
              <a:extLst>
                <a:ext uri="{FF2B5EF4-FFF2-40B4-BE49-F238E27FC236}">
                  <a16:creationId xmlns:a16="http://schemas.microsoft.com/office/drawing/2014/main" id="{9647CE10-20C4-45A2-982A-F971E1D426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6459" y="3685541"/>
              <a:ext cx="2237741" cy="6905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90350</xdr:colOff>
      <xdr:row>26</xdr:row>
      <xdr:rowOff>27313</xdr:rowOff>
    </xdr:from>
    <xdr:to>
      <xdr:col>4</xdr:col>
      <xdr:colOff>65313</xdr:colOff>
      <xdr:row>36</xdr:row>
      <xdr:rowOff>62643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torizado">
              <a:extLst>
                <a:ext uri="{FF2B5EF4-FFF2-40B4-BE49-F238E27FC236}">
                  <a16:creationId xmlns:a16="http://schemas.microsoft.com/office/drawing/2014/main" id="{759A3C4E-823E-4314-9AA7-836C3E6D1E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oriz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7750" y="4650113"/>
              <a:ext cx="2337163" cy="18133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248173</xdr:colOff>
      <xdr:row>1</xdr:row>
      <xdr:rowOff>101470</xdr:rowOff>
    </xdr:from>
    <xdr:to>
      <xdr:col>13</xdr:col>
      <xdr:colOff>206828</xdr:colOff>
      <xdr:row>6</xdr:row>
      <xdr:rowOff>135885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5EE0E36B-F90D-8A8D-B964-098E81DDC9C4}"/>
            </a:ext>
          </a:extLst>
        </xdr:cNvPr>
        <xdr:cNvGrpSpPr/>
      </xdr:nvGrpSpPr>
      <xdr:grpSpPr>
        <a:xfrm>
          <a:off x="7400087" y="286527"/>
          <a:ext cx="3137284" cy="959701"/>
          <a:chOff x="10030076" y="327893"/>
          <a:chExt cx="3128576" cy="948815"/>
        </a:xfrm>
      </xdr:grpSpPr>
      <xdr:sp macro="" textlink="">
        <xdr:nvSpPr>
          <xdr:cNvPr id="112" name="Rectángulo: esquinas redondeadas 111">
            <a:extLst>
              <a:ext uri="{FF2B5EF4-FFF2-40B4-BE49-F238E27FC236}">
                <a16:creationId xmlns:a16="http://schemas.microsoft.com/office/drawing/2014/main" id="{5DCB7299-A3F0-4B01-8F0D-98BC55D00247}"/>
              </a:ext>
            </a:extLst>
          </xdr:cNvPr>
          <xdr:cNvSpPr/>
        </xdr:nvSpPr>
        <xdr:spPr>
          <a:xfrm>
            <a:off x="10030076" y="341803"/>
            <a:ext cx="2984884" cy="93490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42" name="CuadroTexto 41">
            <a:extLst>
              <a:ext uri="{FF2B5EF4-FFF2-40B4-BE49-F238E27FC236}">
                <a16:creationId xmlns:a16="http://schemas.microsoft.com/office/drawing/2014/main" id="{8ACB8099-CE7B-8C1F-7B32-13F918040B9E}"/>
              </a:ext>
            </a:extLst>
          </xdr:cNvPr>
          <xdr:cNvSpPr txBox="1"/>
        </xdr:nvSpPr>
        <xdr:spPr>
          <a:xfrm>
            <a:off x="11499886" y="903789"/>
            <a:ext cx="1046608" cy="263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200" b="1" kern="120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Monto Total</a:t>
            </a:r>
            <a:endParaRPr lang="es-ES" sz="1400" b="1" kern="120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Categoria!C42">
        <xdr:nvSpPr>
          <xdr:cNvPr id="43" name="CuadroTexto 42">
            <a:extLst>
              <a:ext uri="{FF2B5EF4-FFF2-40B4-BE49-F238E27FC236}">
                <a16:creationId xmlns:a16="http://schemas.microsoft.com/office/drawing/2014/main" id="{AAEED189-1687-F50C-ADA9-C970006366E7}"/>
              </a:ext>
            </a:extLst>
          </xdr:cNvPr>
          <xdr:cNvSpPr txBox="1"/>
        </xdr:nvSpPr>
        <xdr:spPr>
          <a:xfrm>
            <a:off x="11071057" y="519280"/>
            <a:ext cx="2087595" cy="384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fld id="{2988818C-63A6-4C97-A499-56D0A3BCCFF3}" type="TxLink">
              <a:rPr lang="en-US" sz="2400" b="0" i="0" u="none" strike="noStrike" kern="1200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Roboto Black" panose="02000000000000000000" pitchFamily="2" charset="0"/>
              </a:rPr>
              <a:pPr marL="0" indent="0" algn="l"/>
              <a:t> S/ 457.00 </a:t>
            </a:fld>
            <a:endParaRPr lang="es-ES" sz="2400" b="0" i="0" u="none" strike="noStrike" kern="1200">
              <a:solidFill>
                <a:srgbClr val="000000"/>
              </a:solidFill>
              <a:latin typeface="Roboto Black" panose="02000000000000000000" pitchFamily="2" charset="0"/>
              <a:ea typeface="Roboto Black" panose="02000000000000000000" pitchFamily="2" charset="0"/>
              <a:cs typeface="Roboto Black" panose="02000000000000000000" pitchFamily="2" charset="0"/>
            </a:endParaRPr>
          </a:p>
        </xdr:txBody>
      </xdr:sp>
      <xdr:pic>
        <xdr:nvPicPr>
          <xdr:cNvPr id="10" name="Gráfico 9" descr="Transfer1 con relleno sólido">
            <a:extLst>
              <a:ext uri="{FF2B5EF4-FFF2-40B4-BE49-F238E27FC236}">
                <a16:creationId xmlns:a16="http://schemas.microsoft.com/office/drawing/2014/main" id="{400F84A4-BC5A-62A8-A8F1-E2A5A02DD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093264" y="327893"/>
            <a:ext cx="918612" cy="93181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784413</xdr:colOff>
      <xdr:row>1</xdr:row>
      <xdr:rowOff>151759</xdr:rowOff>
    </xdr:from>
    <xdr:to>
      <xdr:col>8</xdr:col>
      <xdr:colOff>533401</xdr:colOff>
      <xdr:row>6</xdr:row>
      <xdr:rowOff>172682</xdr:rowOff>
    </xdr:to>
    <xdr:grpSp>
      <xdr:nvGrpSpPr>
        <xdr:cNvPr id="113" name="Grupo 112">
          <a:extLst>
            <a:ext uri="{FF2B5EF4-FFF2-40B4-BE49-F238E27FC236}">
              <a16:creationId xmlns:a16="http://schemas.microsoft.com/office/drawing/2014/main" id="{4CCA2EDF-4F5D-1FA2-4783-7425868AFBF0}"/>
            </a:ext>
          </a:extLst>
        </xdr:cNvPr>
        <xdr:cNvGrpSpPr/>
      </xdr:nvGrpSpPr>
      <xdr:grpSpPr>
        <a:xfrm>
          <a:off x="4757699" y="336816"/>
          <a:ext cx="2132959" cy="946209"/>
          <a:chOff x="6920755" y="372079"/>
          <a:chExt cx="2115669" cy="917394"/>
        </a:xfrm>
      </xdr:grpSpPr>
      <xdr:sp macro="" textlink="">
        <xdr:nvSpPr>
          <xdr:cNvPr id="111" name="Rectángulo: esquinas redondeadas 110">
            <a:extLst>
              <a:ext uri="{FF2B5EF4-FFF2-40B4-BE49-F238E27FC236}">
                <a16:creationId xmlns:a16="http://schemas.microsoft.com/office/drawing/2014/main" id="{B9F6933A-425B-45D7-9FC5-F4DD0DD94315}"/>
              </a:ext>
            </a:extLst>
          </xdr:cNvPr>
          <xdr:cNvSpPr/>
        </xdr:nvSpPr>
        <xdr:spPr>
          <a:xfrm>
            <a:off x="6920755" y="372079"/>
            <a:ext cx="2115669" cy="917394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46" name="CuadroTexto 45">
            <a:extLst>
              <a:ext uri="{FF2B5EF4-FFF2-40B4-BE49-F238E27FC236}">
                <a16:creationId xmlns:a16="http://schemas.microsoft.com/office/drawing/2014/main" id="{535E2874-FA01-2BA5-AE4D-3C722795B366}"/>
              </a:ext>
            </a:extLst>
          </xdr:cNvPr>
          <xdr:cNvSpPr txBox="1"/>
        </xdr:nvSpPr>
        <xdr:spPr>
          <a:xfrm>
            <a:off x="8099986" y="967411"/>
            <a:ext cx="873685" cy="2517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200" b="1" kern="120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Entregas</a:t>
            </a:r>
            <a:endParaRPr lang="es-ES" sz="1400" b="1" kern="120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Categoria!C43">
        <xdr:nvSpPr>
          <xdr:cNvPr id="47" name="CuadroTexto 46">
            <a:extLst>
              <a:ext uri="{FF2B5EF4-FFF2-40B4-BE49-F238E27FC236}">
                <a16:creationId xmlns:a16="http://schemas.microsoft.com/office/drawing/2014/main" id="{D2EEDE59-13D5-18B5-5900-47E5AF8DD708}"/>
              </a:ext>
            </a:extLst>
          </xdr:cNvPr>
          <xdr:cNvSpPr txBox="1"/>
        </xdr:nvSpPr>
        <xdr:spPr>
          <a:xfrm>
            <a:off x="8116106" y="539609"/>
            <a:ext cx="767919" cy="365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fld id="{13D41AB6-A121-4446-A84C-B37FC789FBEB}" type="TxLink">
              <a:rPr lang="en-US" sz="2400" b="0" i="0" u="none" strike="noStrike" kern="1200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Roboto Black" panose="02000000000000000000" pitchFamily="2" charset="0"/>
              </a:rPr>
              <a:pPr marL="0" indent="0" algn="l"/>
              <a:t>29</a:t>
            </a:fld>
            <a:endParaRPr lang="es-ES" sz="2400" b="0" i="0" u="none" strike="noStrike" kern="1200">
              <a:solidFill>
                <a:srgbClr val="000000"/>
              </a:solidFill>
              <a:latin typeface="Roboto Black" panose="02000000000000000000" pitchFamily="2" charset="0"/>
              <a:ea typeface="Roboto Black" panose="02000000000000000000" pitchFamily="2" charset="0"/>
              <a:cs typeface="Roboto Black" panose="02000000000000000000" pitchFamily="2" charset="0"/>
            </a:endParaRPr>
          </a:p>
        </xdr:txBody>
      </xdr:sp>
      <xdr:pic>
        <xdr:nvPicPr>
          <xdr:cNvPr id="16" name="Gráfico 15" descr="Entrega con relleno sólido">
            <a:extLst>
              <a:ext uri="{FF2B5EF4-FFF2-40B4-BE49-F238E27FC236}">
                <a16:creationId xmlns:a16="http://schemas.microsoft.com/office/drawing/2014/main" id="{CAC8D70E-C7D6-AE6F-02C6-435C57AA1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043857" y="374116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671519</xdr:colOff>
      <xdr:row>1</xdr:row>
      <xdr:rowOff>53787</xdr:rowOff>
    </xdr:from>
    <xdr:to>
      <xdr:col>20</xdr:col>
      <xdr:colOff>203479</xdr:colOff>
      <xdr:row>6</xdr:row>
      <xdr:rowOff>74709</xdr:rowOff>
    </xdr:to>
    <xdr:grpSp>
      <xdr:nvGrpSpPr>
        <xdr:cNvPr id="125" name="Grupo 124">
          <a:extLst>
            <a:ext uri="{FF2B5EF4-FFF2-40B4-BE49-F238E27FC236}">
              <a16:creationId xmlns:a16="http://schemas.microsoft.com/office/drawing/2014/main" id="{92409A49-1E7A-5C66-3D51-855D9EC8F08A}"/>
            </a:ext>
          </a:extLst>
        </xdr:cNvPr>
        <xdr:cNvGrpSpPr/>
      </xdr:nvGrpSpPr>
      <xdr:grpSpPr>
        <a:xfrm>
          <a:off x="14180690" y="238844"/>
          <a:ext cx="1915932" cy="946208"/>
          <a:chOff x="15728135" y="473011"/>
          <a:chExt cx="1909234" cy="929461"/>
        </a:xfrm>
      </xdr:grpSpPr>
      <xdr:sp macro="" textlink="">
        <xdr:nvSpPr>
          <xdr:cNvPr id="116" name="Rectángulo: esquinas redondeadas 115">
            <a:extLst>
              <a:ext uri="{FF2B5EF4-FFF2-40B4-BE49-F238E27FC236}">
                <a16:creationId xmlns:a16="http://schemas.microsoft.com/office/drawing/2014/main" id="{8F49E1E2-3CBA-4AB1-A6D8-D8B73AD7C302}"/>
              </a:ext>
            </a:extLst>
          </xdr:cNvPr>
          <xdr:cNvSpPr/>
        </xdr:nvSpPr>
        <xdr:spPr>
          <a:xfrm>
            <a:off x="15728135" y="473011"/>
            <a:ext cx="1909234" cy="929461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C77CAF75-5564-73E0-AA14-680BF3515F72}"/>
              </a:ext>
            </a:extLst>
          </xdr:cNvPr>
          <xdr:cNvSpPr txBox="1"/>
        </xdr:nvSpPr>
        <xdr:spPr>
          <a:xfrm>
            <a:off x="16740597" y="1043447"/>
            <a:ext cx="840352" cy="2743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200" b="1" kern="120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Promedio</a:t>
            </a:r>
          </a:p>
        </xdr:txBody>
      </xdr:sp>
      <xdr:sp macro="" textlink="Categoria!C58">
        <xdr:nvSpPr>
          <xdr:cNvPr id="35" name="CuadroTexto 34">
            <a:extLst>
              <a:ext uri="{FF2B5EF4-FFF2-40B4-BE49-F238E27FC236}">
                <a16:creationId xmlns:a16="http://schemas.microsoft.com/office/drawing/2014/main" id="{E16273C6-08B8-2E3B-3F2C-80184190BFCF}"/>
              </a:ext>
            </a:extLst>
          </xdr:cNvPr>
          <xdr:cNvSpPr txBox="1"/>
        </xdr:nvSpPr>
        <xdr:spPr>
          <a:xfrm>
            <a:off x="16913238" y="646292"/>
            <a:ext cx="489670" cy="4029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fld id="{AA81A8DF-23A6-4391-B2DC-F51B71DD506F}" type="TxLink">
              <a:rPr lang="en-US" sz="2000" b="0" i="0" u="none" strike="noStrike" kern="1200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Roboto Black" panose="02000000000000000000" pitchFamily="2" charset="0"/>
              </a:rPr>
              <a:pPr marL="0" indent="0" algn="l"/>
              <a:t>6</a:t>
            </a:fld>
            <a:endParaRPr lang="es-ES" sz="2000" b="0" i="0" u="none" strike="noStrike" kern="1200">
              <a:solidFill>
                <a:srgbClr val="000000"/>
              </a:solidFill>
              <a:latin typeface="Roboto Black" panose="02000000000000000000" pitchFamily="2" charset="0"/>
              <a:ea typeface="Roboto Black" panose="02000000000000000000" pitchFamily="2" charset="0"/>
              <a:cs typeface="Roboto Black" panose="02000000000000000000" pitchFamily="2" charset="0"/>
            </a:endParaRPr>
          </a:p>
        </xdr:txBody>
      </xdr:sp>
      <xdr:pic>
        <xdr:nvPicPr>
          <xdr:cNvPr id="80" name="Gráfico 79" descr="Indicador con relleno sólido">
            <a:extLst>
              <a:ext uri="{FF2B5EF4-FFF2-40B4-BE49-F238E27FC236}">
                <a16:creationId xmlns:a16="http://schemas.microsoft.com/office/drawing/2014/main" id="{7866C503-F53A-7A93-459F-380D586DB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838925" y="523549"/>
            <a:ext cx="772675" cy="77876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603920</xdr:colOff>
      <xdr:row>1</xdr:row>
      <xdr:rowOff>42902</xdr:rowOff>
    </xdr:from>
    <xdr:to>
      <xdr:col>17</xdr:col>
      <xdr:colOff>194746</xdr:colOff>
      <xdr:row>6</xdr:row>
      <xdr:rowOff>63825</xdr:rowOff>
    </xdr:to>
    <xdr:grpSp>
      <xdr:nvGrpSpPr>
        <xdr:cNvPr id="124" name="Grupo 123">
          <a:extLst>
            <a:ext uri="{FF2B5EF4-FFF2-40B4-BE49-F238E27FC236}">
              <a16:creationId xmlns:a16="http://schemas.microsoft.com/office/drawing/2014/main" id="{3DB2F70C-AEF8-5813-45F4-EBF460FF1B9C}"/>
            </a:ext>
          </a:extLst>
        </xdr:cNvPr>
        <xdr:cNvGrpSpPr/>
      </xdr:nvGrpSpPr>
      <xdr:grpSpPr>
        <a:xfrm>
          <a:off x="10934463" y="227959"/>
          <a:ext cx="2769454" cy="946209"/>
          <a:chOff x="12667130" y="493060"/>
          <a:chExt cx="2752164" cy="917394"/>
        </a:xfrm>
      </xdr:grpSpPr>
      <xdr:sp macro="" textlink="">
        <xdr:nvSpPr>
          <xdr:cNvPr id="115" name="Rectángulo: esquinas redondeadas 114">
            <a:extLst>
              <a:ext uri="{FF2B5EF4-FFF2-40B4-BE49-F238E27FC236}">
                <a16:creationId xmlns:a16="http://schemas.microsoft.com/office/drawing/2014/main" id="{46F4B871-569A-4A6A-9103-628338111834}"/>
              </a:ext>
            </a:extLst>
          </xdr:cNvPr>
          <xdr:cNvSpPr/>
        </xdr:nvSpPr>
        <xdr:spPr>
          <a:xfrm>
            <a:off x="12667130" y="493060"/>
            <a:ext cx="2752164" cy="917394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E801FFAF-1D6E-E86F-DD6D-707F3C9712DE}"/>
              </a:ext>
            </a:extLst>
          </xdr:cNvPr>
          <xdr:cNvSpPr txBox="1"/>
        </xdr:nvSpPr>
        <xdr:spPr>
          <a:xfrm>
            <a:off x="13947420" y="1117287"/>
            <a:ext cx="826416" cy="2901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200" b="1" kern="120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Top</a:t>
            </a:r>
            <a:r>
              <a:rPr lang="es-ES" sz="1200" b="1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Nº 1</a:t>
            </a:r>
            <a:endParaRPr lang="es-ES" sz="1200" b="1" kern="120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Categoria!C56">
        <xdr:nvSpPr>
          <xdr:cNvPr id="39" name="CuadroTexto 38">
            <a:extLst>
              <a:ext uri="{FF2B5EF4-FFF2-40B4-BE49-F238E27FC236}">
                <a16:creationId xmlns:a16="http://schemas.microsoft.com/office/drawing/2014/main" id="{1C1BBC79-3C05-4848-5E40-E2B109B5F6DE}"/>
              </a:ext>
            </a:extLst>
          </xdr:cNvPr>
          <xdr:cNvSpPr txBox="1"/>
        </xdr:nvSpPr>
        <xdr:spPr>
          <a:xfrm>
            <a:off x="14652329" y="708213"/>
            <a:ext cx="489059" cy="403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fld id="{0EF5F53A-C9FC-43A6-A3CB-0BFAC767EF13}" type="TxLink">
              <a:rPr lang="en-US" sz="2000" b="0" i="0" u="none" strike="noStrike" kern="1200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Roboto Black" panose="02000000000000000000" pitchFamily="2" charset="0"/>
              </a:rPr>
              <a:pPr marL="0" indent="0" algn="l"/>
              <a:t>9</a:t>
            </a:fld>
            <a:endParaRPr lang="es-ES" sz="2000" b="0" i="0" u="none" strike="noStrike" kern="1200">
              <a:solidFill>
                <a:srgbClr val="000000"/>
              </a:solidFill>
              <a:latin typeface="Roboto Black" panose="02000000000000000000" pitchFamily="2" charset="0"/>
              <a:ea typeface="Roboto Black" panose="02000000000000000000" pitchFamily="2" charset="0"/>
              <a:cs typeface="Roboto Black" panose="02000000000000000000" pitchFamily="2" charset="0"/>
            </a:endParaRPr>
          </a:p>
        </xdr:txBody>
      </xdr:sp>
      <xdr:sp macro="" textlink="Categoria!D56">
        <xdr:nvSpPr>
          <xdr:cNvPr id="71" name="CuadroTexto 70">
            <a:extLst>
              <a:ext uri="{FF2B5EF4-FFF2-40B4-BE49-F238E27FC236}">
                <a16:creationId xmlns:a16="http://schemas.microsoft.com/office/drawing/2014/main" id="{D81DF5C7-A808-4904-BD80-0D0A64EFC140}"/>
              </a:ext>
            </a:extLst>
          </xdr:cNvPr>
          <xdr:cNvSpPr txBox="1"/>
        </xdr:nvSpPr>
        <xdr:spPr>
          <a:xfrm>
            <a:off x="13343483" y="710893"/>
            <a:ext cx="1206236" cy="4624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fld id="{3B69C51B-08D3-4051-B031-B344FF07C94F}" type="TxLink">
              <a:rPr lang="en-US" sz="2000" b="0" i="0" u="none" strike="noStrike" kern="1200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Roboto Black" panose="02000000000000000000" pitchFamily="2" charset="0"/>
              </a:rPr>
              <a:pPr marL="0" indent="0" algn="l"/>
              <a:t>Escorpio</a:t>
            </a:fld>
            <a:endParaRPr lang="es-ES" sz="2000" b="0" i="0" u="none" strike="noStrike" kern="1200">
              <a:solidFill>
                <a:srgbClr val="000000"/>
              </a:solidFill>
              <a:latin typeface="Roboto Black" panose="02000000000000000000" pitchFamily="2" charset="0"/>
              <a:ea typeface="Roboto Black" panose="02000000000000000000" pitchFamily="2" charset="0"/>
              <a:cs typeface="Roboto Black" panose="02000000000000000000" pitchFamily="2" charset="0"/>
            </a:endParaRPr>
          </a:p>
        </xdr:txBody>
      </xdr:sp>
      <xdr:pic>
        <xdr:nvPicPr>
          <xdr:cNvPr id="120" name="Gráfico 119" descr="Flechas de cheurón con relleno sólido">
            <a:extLst>
              <a:ext uri="{FF2B5EF4-FFF2-40B4-BE49-F238E27FC236}">
                <a16:creationId xmlns:a16="http://schemas.microsoft.com/office/drawing/2014/main" id="{C3A4314F-76D7-1818-548D-E373F0A5DC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5400000">
            <a:off x="12709553" y="618565"/>
            <a:ext cx="663388" cy="663388"/>
          </a:xfrm>
          <a:prstGeom prst="rect">
            <a:avLst/>
          </a:prstGeom>
        </xdr:spPr>
      </xdr:pic>
      <xdr:sp macro="" textlink="">
        <xdr:nvSpPr>
          <xdr:cNvPr id="123" name="Rectángulo: esquinas redondeadas 122">
            <a:extLst>
              <a:ext uri="{FF2B5EF4-FFF2-40B4-BE49-F238E27FC236}">
                <a16:creationId xmlns:a16="http://schemas.microsoft.com/office/drawing/2014/main" id="{FAFE7CD3-9D62-8808-8769-2EF85D16E66A}"/>
              </a:ext>
            </a:extLst>
          </xdr:cNvPr>
          <xdr:cNvSpPr/>
        </xdr:nvSpPr>
        <xdr:spPr>
          <a:xfrm>
            <a:off x="14540754" y="708214"/>
            <a:ext cx="699247" cy="412375"/>
          </a:xfrm>
          <a:prstGeom prst="roundRect">
            <a:avLst/>
          </a:prstGeom>
          <a:noFill/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</xdr:grpSp>
    <xdr:clientData/>
  </xdr:twoCellAnchor>
  <xdr:twoCellAnchor editAs="oneCell">
    <xdr:from>
      <xdr:col>1</xdr:col>
      <xdr:colOff>130628</xdr:colOff>
      <xdr:row>14</xdr:row>
      <xdr:rowOff>152399</xdr:rowOff>
    </xdr:from>
    <xdr:to>
      <xdr:col>3</xdr:col>
      <xdr:colOff>783771</xdr:colOff>
      <xdr:row>18</xdr:row>
      <xdr:rowOff>124691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">
              <a:extLst>
                <a:ext uri="{FF2B5EF4-FFF2-40B4-BE49-F238E27FC236}">
                  <a16:creationId xmlns:a16="http://schemas.microsoft.com/office/drawing/2014/main" id="{56FF2B8B-7DD6-4CB5-9079-C954B7649C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8028" y="2641599"/>
              <a:ext cx="2227943" cy="6834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15</xdr:col>
      <xdr:colOff>263527</xdr:colOff>
      <xdr:row>8</xdr:row>
      <xdr:rowOff>66212</xdr:rowOff>
    </xdr:from>
    <xdr:to>
      <xdr:col>21</xdr:col>
      <xdr:colOff>86127</xdr:colOff>
      <xdr:row>26</xdr:row>
      <xdr:rowOff>105397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7700BAC7-9979-22E2-EC65-3B2DE6C1A752}"/>
            </a:ext>
          </a:extLst>
        </xdr:cNvPr>
        <xdr:cNvGrpSpPr/>
      </xdr:nvGrpSpPr>
      <xdr:grpSpPr>
        <a:xfrm>
          <a:off x="12183384" y="1546669"/>
          <a:ext cx="4590543" cy="3370214"/>
          <a:chOff x="13967652" y="1959337"/>
          <a:chExt cx="4590543" cy="3370214"/>
        </a:xfrm>
      </xdr:grpSpPr>
      <xdr:sp macro="" textlink="">
        <xdr:nvSpPr>
          <xdr:cNvPr id="33" name="Rectángulo 32">
            <a:extLst>
              <a:ext uri="{FF2B5EF4-FFF2-40B4-BE49-F238E27FC236}">
                <a16:creationId xmlns:a16="http://schemas.microsoft.com/office/drawing/2014/main" id="{AA24E153-3DA8-4B9E-8935-3016E4B61A8C}"/>
              </a:ext>
            </a:extLst>
          </xdr:cNvPr>
          <xdr:cNvSpPr/>
        </xdr:nvSpPr>
        <xdr:spPr>
          <a:xfrm>
            <a:off x="13967652" y="2505363"/>
            <a:ext cx="4580517" cy="2824188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59" name="Rectángulo: esquinas redondeadas 58">
            <a:extLst>
              <a:ext uri="{FF2B5EF4-FFF2-40B4-BE49-F238E27FC236}">
                <a16:creationId xmlns:a16="http://schemas.microsoft.com/office/drawing/2014/main" id="{66F4AC71-05B6-C05C-B669-86DC1A4C3A7E}"/>
              </a:ext>
            </a:extLst>
          </xdr:cNvPr>
          <xdr:cNvSpPr/>
        </xdr:nvSpPr>
        <xdr:spPr>
          <a:xfrm>
            <a:off x="13982529" y="1959337"/>
            <a:ext cx="4575666" cy="600705"/>
          </a:xfrm>
          <a:prstGeom prst="roundRect">
            <a:avLst/>
          </a:prstGeom>
          <a:solidFill>
            <a:srgbClr val="F9C03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56" name="CuadroTexto 55">
            <a:extLst>
              <a:ext uri="{FF2B5EF4-FFF2-40B4-BE49-F238E27FC236}">
                <a16:creationId xmlns:a16="http://schemas.microsoft.com/office/drawing/2014/main" id="{620478CB-07F1-D112-2C89-6E9D2B3DDEF7}"/>
              </a:ext>
            </a:extLst>
          </xdr:cNvPr>
          <xdr:cNvSpPr txBox="1"/>
        </xdr:nvSpPr>
        <xdr:spPr>
          <a:xfrm>
            <a:off x="14833171" y="2047858"/>
            <a:ext cx="3313314" cy="3523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2000" b="1" kern="1200">
                <a:solidFill>
                  <a:schemeClr val="bg1"/>
                </a:solidFill>
                <a:latin typeface="Arial Rounded MT Bold" panose="020F0704030504030204" pitchFamily="34" charset="0"/>
                <a:ea typeface="Segoe UI Black" panose="020B0A02040204020203" pitchFamily="34" charset="0"/>
                <a:cs typeface="Arial" panose="020B0604020202020204" pitchFamily="34" charset="0"/>
              </a:rPr>
              <a:t>Entregas por Motorizado</a:t>
            </a:r>
          </a:p>
        </xdr:txBody>
      </xdr:sp>
      <mc:AlternateContent xmlns:mc="http://schemas.openxmlformats.org/markup-compatibility/2006">
        <mc:Choice xmlns:cx2="http://schemas.microsoft.com/office/drawing/2015/10/21/chartex" Requires="cx2">
          <xdr:graphicFrame macro="">
            <xdr:nvGraphicFramePr>
              <xdr:cNvPr id="36" name="Gráfico 35">
                <a:extLst>
                  <a:ext uri="{FF2B5EF4-FFF2-40B4-BE49-F238E27FC236}">
                    <a16:creationId xmlns:a16="http://schemas.microsoft.com/office/drawing/2014/main" id="{1B1FB038-69E1-4886-B967-02E948BC51E5}"/>
                  </a:ext>
                </a:extLst>
              </xdr:cNvPr>
              <xdr:cNvGraphicFramePr/>
            </xdr:nvGraphicFramePr>
            <xdr:xfrm>
              <a:off x="13996851" y="2682240"/>
              <a:ext cx="4455523" cy="252222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996851" y="2682240"/>
                <a:ext cx="4455523" cy="25222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ES" sz="1100"/>
                  <a:t>Este gráfico no está disponible en su versión de Excel.
Si edita esta forma o guarda el libro en un formato de archivo diferente, el gráfico no se podrá utilizar.</a:t>
                </a:r>
              </a:p>
            </xdr:txBody>
          </xdr:sp>
        </mc:Fallback>
      </mc:AlternateContent>
    </xdr:grpSp>
    <xdr:clientData/>
  </xdr:twoCellAnchor>
  <xdr:twoCellAnchor>
    <xdr:from>
      <xdr:col>5</xdr:col>
      <xdr:colOff>218601</xdr:colOff>
      <xdr:row>28</xdr:row>
      <xdr:rowOff>2879</xdr:rowOff>
    </xdr:from>
    <xdr:to>
      <xdr:col>11</xdr:col>
      <xdr:colOff>218407</xdr:colOff>
      <xdr:row>49</xdr:row>
      <xdr:rowOff>94013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6F7B2-6CA6-6440-43A4-DA8E65DAFB65}"/>
            </a:ext>
          </a:extLst>
        </xdr:cNvPr>
        <xdr:cNvGrpSpPr/>
      </xdr:nvGrpSpPr>
      <xdr:grpSpPr>
        <a:xfrm>
          <a:off x="4191887" y="5184479"/>
          <a:ext cx="4767749" cy="3977334"/>
          <a:chOff x="5192383" y="5475425"/>
          <a:chExt cx="4738061" cy="3873424"/>
        </a:xfrm>
      </xdr:grpSpPr>
      <xdr:sp macro="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BB56BD42-508A-4984-8AE8-E035831AE59F}"/>
              </a:ext>
            </a:extLst>
          </xdr:cNvPr>
          <xdr:cNvSpPr/>
        </xdr:nvSpPr>
        <xdr:spPr>
          <a:xfrm>
            <a:off x="5192383" y="5867464"/>
            <a:ext cx="4723398" cy="348138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99AFAC36-36B4-4186-B7E7-392A10E6E939}"/>
              </a:ext>
            </a:extLst>
          </xdr:cNvPr>
          <xdr:cNvGraphicFramePr>
            <a:graphicFrameLocks/>
          </xdr:cNvGraphicFramePr>
        </xdr:nvGraphicFramePr>
        <xdr:xfrm>
          <a:off x="5194763" y="6231773"/>
          <a:ext cx="4735681" cy="30735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52" name="Rectángulo: esquinas redondeadas 151">
            <a:extLst>
              <a:ext uri="{FF2B5EF4-FFF2-40B4-BE49-F238E27FC236}">
                <a16:creationId xmlns:a16="http://schemas.microsoft.com/office/drawing/2014/main" id="{0739A843-548A-4AD6-9571-56D85E88484B}"/>
              </a:ext>
            </a:extLst>
          </xdr:cNvPr>
          <xdr:cNvSpPr/>
        </xdr:nvSpPr>
        <xdr:spPr>
          <a:xfrm>
            <a:off x="5195483" y="5475425"/>
            <a:ext cx="4722986" cy="583682"/>
          </a:xfrm>
          <a:prstGeom prst="roundRect">
            <a:avLst/>
          </a:prstGeom>
          <a:solidFill>
            <a:srgbClr val="F9C03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AF04F785-4044-44C9-A73F-0E840847BC66}"/>
              </a:ext>
            </a:extLst>
          </xdr:cNvPr>
          <xdr:cNvSpPr txBox="1"/>
        </xdr:nvSpPr>
        <xdr:spPr>
          <a:xfrm>
            <a:off x="5962304" y="5540433"/>
            <a:ext cx="3293522" cy="344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2000" b="1" kern="1200">
                <a:solidFill>
                  <a:schemeClr val="bg1"/>
                </a:solidFill>
                <a:latin typeface="Arial Rounded MT Bold" panose="020F0704030504030204" pitchFamily="34" charset="0"/>
                <a:ea typeface="Segoe UI Black" panose="020B0A02040204020203" pitchFamily="34" charset="0"/>
                <a:cs typeface="Arial" panose="020B0604020202020204" pitchFamily="34" charset="0"/>
              </a:rPr>
              <a:t>Monto</a:t>
            </a:r>
            <a:r>
              <a:rPr lang="es-ES" sz="2000" b="1" kern="1200" baseline="0">
                <a:solidFill>
                  <a:schemeClr val="bg1"/>
                </a:solidFill>
                <a:latin typeface="Arial Rounded MT Bold" panose="020F0704030504030204" pitchFamily="34" charset="0"/>
                <a:ea typeface="Segoe UI Black" panose="020B0A02040204020203" pitchFamily="34" charset="0"/>
                <a:cs typeface="Arial" panose="020B0604020202020204" pitchFamily="34" charset="0"/>
              </a:rPr>
              <a:t> por Motorizado</a:t>
            </a:r>
            <a:endParaRPr lang="es-ES" sz="2000" b="1" kern="1200">
              <a:solidFill>
                <a:schemeClr val="bg1"/>
              </a:solidFill>
              <a:latin typeface="Arial Rounded MT Bold" panose="020F0704030504030204" pitchFamily="34" charset="0"/>
              <a:ea typeface="Segoe UI Black" panose="020B0A02040204020203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461708</xdr:colOff>
      <xdr:row>28</xdr:row>
      <xdr:rowOff>40980</xdr:rowOff>
    </xdr:from>
    <xdr:to>
      <xdr:col>21</xdr:col>
      <xdr:colOff>192973</xdr:colOff>
      <xdr:row>49</xdr:row>
      <xdr:rowOff>17815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81B2F6EE-2286-334C-5AB4-41EA4672575F}"/>
            </a:ext>
          </a:extLst>
        </xdr:cNvPr>
        <xdr:cNvGrpSpPr/>
      </xdr:nvGrpSpPr>
      <xdr:grpSpPr>
        <a:xfrm>
          <a:off x="9202937" y="5222580"/>
          <a:ext cx="7677836" cy="3863035"/>
          <a:chOff x="10894182" y="5513525"/>
          <a:chExt cx="7628356" cy="3759125"/>
        </a:xfrm>
      </xdr:grpSpPr>
      <xdr:sp macro="" textlink="">
        <xdr:nvSpPr>
          <xdr:cNvPr id="49" name="Rectángulo 48">
            <a:extLst>
              <a:ext uri="{FF2B5EF4-FFF2-40B4-BE49-F238E27FC236}">
                <a16:creationId xmlns:a16="http://schemas.microsoft.com/office/drawing/2014/main" id="{752781EB-ECC2-4D52-B5DA-CE0DE138C4FA}"/>
              </a:ext>
            </a:extLst>
          </xdr:cNvPr>
          <xdr:cNvSpPr/>
        </xdr:nvSpPr>
        <xdr:spPr>
          <a:xfrm>
            <a:off x="11001963" y="5816877"/>
            <a:ext cx="7493681" cy="34557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9C6DC37F-515F-4B7F-B2B5-2F7101A3358D}"/>
              </a:ext>
            </a:extLst>
          </xdr:cNvPr>
          <xdr:cNvGraphicFramePr>
            <a:graphicFrameLocks/>
          </xdr:cNvGraphicFramePr>
        </xdr:nvGraphicFramePr>
        <xdr:xfrm>
          <a:off x="10894182" y="6062057"/>
          <a:ext cx="7628356" cy="31175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97E29BE9-B167-42D6-BCF5-035D933CCC8C}"/>
              </a:ext>
            </a:extLst>
          </xdr:cNvPr>
          <xdr:cNvSpPr/>
        </xdr:nvSpPr>
        <xdr:spPr>
          <a:xfrm>
            <a:off x="10929186" y="5513525"/>
            <a:ext cx="7593352" cy="583682"/>
          </a:xfrm>
          <a:prstGeom prst="roundRect">
            <a:avLst/>
          </a:prstGeom>
          <a:solidFill>
            <a:srgbClr val="F9C03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45" name="CuadroTexto 44">
            <a:extLst>
              <a:ext uri="{FF2B5EF4-FFF2-40B4-BE49-F238E27FC236}">
                <a16:creationId xmlns:a16="http://schemas.microsoft.com/office/drawing/2014/main" id="{88C3AEA1-943B-4A83-B880-1133B257CC97}"/>
              </a:ext>
            </a:extLst>
          </xdr:cNvPr>
          <xdr:cNvSpPr txBox="1"/>
        </xdr:nvSpPr>
        <xdr:spPr>
          <a:xfrm>
            <a:off x="12978245" y="5583977"/>
            <a:ext cx="3834245" cy="344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2000" b="1" kern="1200">
                <a:solidFill>
                  <a:schemeClr val="bg1"/>
                </a:solidFill>
                <a:latin typeface="Arial Rounded MT Bold" panose="020F0704030504030204" pitchFamily="34" charset="0"/>
                <a:ea typeface="Segoe UI Black" panose="020B0A02040204020203" pitchFamily="34" charset="0"/>
                <a:cs typeface="Arial" panose="020B0604020202020204" pitchFamily="34" charset="0"/>
              </a:rPr>
              <a:t>Linea</a:t>
            </a:r>
            <a:r>
              <a:rPr lang="es-ES" sz="2000" b="1" kern="1200" baseline="0">
                <a:solidFill>
                  <a:schemeClr val="bg1"/>
                </a:solidFill>
                <a:latin typeface="Arial Rounded MT Bold" panose="020F0704030504030204" pitchFamily="34" charset="0"/>
                <a:ea typeface="Segoe UI Black" panose="020B0A02040204020203" pitchFamily="34" charset="0"/>
                <a:cs typeface="Arial" panose="020B0604020202020204" pitchFamily="34" charset="0"/>
              </a:rPr>
              <a:t> de Tendencia Mensual</a:t>
            </a:r>
            <a:endParaRPr lang="es-ES" sz="2000" b="1" kern="1200">
              <a:solidFill>
                <a:schemeClr val="bg1"/>
              </a:solidFill>
              <a:latin typeface="Arial Rounded MT Bold" panose="020F0704030504030204" pitchFamily="34" charset="0"/>
              <a:ea typeface="Segoe UI Black" panose="020B0A02040204020203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165317</xdr:colOff>
      <xdr:row>8</xdr:row>
      <xdr:rowOff>67961</xdr:rowOff>
    </xdr:from>
    <xdr:to>
      <xdr:col>15</xdr:col>
      <xdr:colOff>121891</xdr:colOff>
      <xdr:row>26</xdr:row>
      <xdr:rowOff>54213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B999948C-62C2-C362-60AF-17B4A25AB8FA}"/>
            </a:ext>
          </a:extLst>
        </xdr:cNvPr>
        <xdr:cNvGrpSpPr/>
      </xdr:nvGrpSpPr>
      <xdr:grpSpPr>
        <a:xfrm>
          <a:off x="4138603" y="1548418"/>
          <a:ext cx="7903145" cy="3317281"/>
          <a:chOff x="4238553" y="1661234"/>
          <a:chExt cx="7853665" cy="3228215"/>
        </a:xfrm>
      </xdr:grpSpPr>
      <xdr:sp macro="" textlink="">
        <xdr:nvSpPr>
          <xdr:cNvPr id="32" name="Rectángulo 31">
            <a:extLst>
              <a:ext uri="{FF2B5EF4-FFF2-40B4-BE49-F238E27FC236}">
                <a16:creationId xmlns:a16="http://schemas.microsoft.com/office/drawing/2014/main" id="{BC71F0C1-3BA7-84C4-1C65-87FABC754FD3}"/>
              </a:ext>
            </a:extLst>
          </xdr:cNvPr>
          <xdr:cNvSpPr/>
        </xdr:nvSpPr>
        <xdr:spPr>
          <a:xfrm>
            <a:off x="4344028" y="2143869"/>
            <a:ext cx="7748190" cy="274558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sp macro="" textlink="">
        <xdr:nvSpPr>
          <xdr:cNvPr id="51" name="Rectángulo: esquinas redondeadas 50">
            <a:extLst>
              <a:ext uri="{FF2B5EF4-FFF2-40B4-BE49-F238E27FC236}">
                <a16:creationId xmlns:a16="http://schemas.microsoft.com/office/drawing/2014/main" id="{0C4A67A2-37BD-C770-788B-7295144E85CB}"/>
              </a:ext>
            </a:extLst>
          </xdr:cNvPr>
          <xdr:cNvSpPr/>
        </xdr:nvSpPr>
        <xdr:spPr>
          <a:xfrm>
            <a:off x="4323587" y="1661234"/>
            <a:ext cx="7758567" cy="581301"/>
          </a:xfrm>
          <a:prstGeom prst="roundRect">
            <a:avLst/>
          </a:prstGeom>
          <a:solidFill>
            <a:srgbClr val="F9C03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 kern="1200"/>
          </a:p>
        </xdr:txBody>
      </xdr:sp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BDF8A08C-7F43-B08B-6562-F579001D1645}"/>
              </a:ext>
            </a:extLst>
          </xdr:cNvPr>
          <xdr:cNvGrpSpPr/>
        </xdr:nvGrpSpPr>
        <xdr:grpSpPr>
          <a:xfrm>
            <a:off x="6769869" y="2435633"/>
            <a:ext cx="2075451" cy="503418"/>
            <a:chOff x="7861021" y="2925697"/>
            <a:chExt cx="2084166" cy="511299"/>
          </a:xfrm>
        </xdr:grpSpPr>
        <xdr:sp macro="" textlink="">
          <xdr:nvSpPr>
            <xdr:cNvPr id="128" name="CuadroTexto 127">
              <a:extLst>
                <a:ext uri="{FF2B5EF4-FFF2-40B4-BE49-F238E27FC236}">
                  <a16:creationId xmlns:a16="http://schemas.microsoft.com/office/drawing/2014/main" id="{052811C3-9721-5D43-53FF-9434E5F957FA}"/>
                </a:ext>
              </a:extLst>
            </xdr:cNvPr>
            <xdr:cNvSpPr txBox="1"/>
          </xdr:nvSpPr>
          <xdr:spPr>
            <a:xfrm>
              <a:off x="7861021" y="2925697"/>
              <a:ext cx="1026452" cy="485330"/>
            </a:xfrm>
            <a:prstGeom prst="rect">
              <a:avLst/>
            </a:prstGeom>
            <a:solidFill>
              <a:srgbClr val="F77F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ES" sz="1100" kern="1200">
                  <a:solidFill>
                    <a:schemeClr val="bg1"/>
                  </a:solidFill>
                </a:rPr>
                <a:t>Cantidad</a:t>
              </a:r>
              <a:r>
                <a:rPr lang="es-ES" sz="1100" kern="1200" baseline="0">
                  <a:solidFill>
                    <a:schemeClr val="bg1"/>
                  </a:solidFill>
                </a:rPr>
                <a:t> de Entregas</a:t>
              </a:r>
              <a:endParaRPr lang="es-ES" sz="1100" kern="12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29" name="Rectángulo: esquinas superiores redondeadas 128">
              <a:extLst>
                <a:ext uri="{FF2B5EF4-FFF2-40B4-BE49-F238E27FC236}">
                  <a16:creationId xmlns:a16="http://schemas.microsoft.com/office/drawing/2014/main" id="{54B943C7-AFE6-7F3A-DDD4-79AFD7CFD934}"/>
                </a:ext>
              </a:extLst>
            </xdr:cNvPr>
            <xdr:cNvSpPr/>
          </xdr:nvSpPr>
          <xdr:spPr>
            <a:xfrm rot="5400000">
              <a:off x="9224688" y="2716497"/>
              <a:ext cx="498276" cy="942722"/>
            </a:xfrm>
            <a:prstGeom prst="round2SameRect">
              <a:avLst/>
            </a:prstGeom>
            <a:noFill/>
            <a:ln w="57150"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 kern="1200"/>
            </a:p>
          </xdr:txBody>
        </xdr:sp>
        <xdr:sp macro="" textlink="Categoria!P37">
          <xdr:nvSpPr>
            <xdr:cNvPr id="130" name="CuadroTexto 129">
              <a:extLst>
                <a:ext uri="{FF2B5EF4-FFF2-40B4-BE49-F238E27FC236}">
                  <a16:creationId xmlns:a16="http://schemas.microsoft.com/office/drawing/2014/main" id="{5903B2D7-1DD1-13BD-F9F4-0BE52D7C0E94}"/>
                </a:ext>
              </a:extLst>
            </xdr:cNvPr>
            <xdr:cNvSpPr txBox="1"/>
          </xdr:nvSpPr>
          <xdr:spPr>
            <a:xfrm>
              <a:off x="9267950" y="3025596"/>
              <a:ext cx="459525" cy="35332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1FF4EC31-772A-424C-A561-42EA9B35D639}" type="TxLink">
                <a:rPr lang="en-US" sz="1800" b="0" i="0" u="none" strike="noStrike" kern="1200">
                  <a:solidFill>
                    <a:srgbClr val="000000"/>
                  </a:solidFill>
                  <a:latin typeface="Arial Rounded MT Bold" panose="020F0704030504030204" pitchFamily="34" charset="0"/>
                  <a:ea typeface="Calibri"/>
                  <a:cs typeface="Calibri"/>
                </a:rPr>
                <a:pPr marL="0" indent="0"/>
                <a:t>5</a:t>
              </a:fld>
              <a:endParaRPr lang="es-ES" sz="1800" b="0" i="0" u="none" strike="noStrike" kern="1200">
                <a:solidFill>
                  <a:srgbClr val="000000"/>
                </a:solidFill>
                <a:latin typeface="Arial Rounded MT Bold" panose="020F0704030504030204" pitchFamily="34" charset="0"/>
                <a:ea typeface="Calibri"/>
                <a:cs typeface="Calibri"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F933B3FB-F95A-618D-0B95-62108B46B78C}"/>
              </a:ext>
            </a:extLst>
          </xdr:cNvPr>
          <xdr:cNvGrpSpPr/>
        </xdr:nvGrpSpPr>
        <xdr:grpSpPr>
          <a:xfrm>
            <a:off x="6780243" y="3322279"/>
            <a:ext cx="5162156" cy="1012163"/>
            <a:chOff x="7338061" y="3697302"/>
            <a:chExt cx="5181600" cy="1030256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513C9970-0A9E-90F6-A038-A9C06FA72096}"/>
                </a:ext>
              </a:extLst>
            </xdr:cNvPr>
            <xdr:cNvGrpSpPr/>
          </xdr:nvGrpSpPr>
          <xdr:grpSpPr>
            <a:xfrm>
              <a:off x="7338061" y="3697302"/>
              <a:ext cx="1105986" cy="1030256"/>
              <a:chOff x="7635241" y="3811602"/>
              <a:chExt cx="1105986" cy="1030256"/>
            </a:xfrm>
          </xdr:grpSpPr>
          <xdr:sp macro="" textlink="">
            <xdr:nvSpPr>
              <xdr:cNvPr id="142" name="CuadroTexto 141">
                <a:extLst>
                  <a:ext uri="{FF2B5EF4-FFF2-40B4-BE49-F238E27FC236}">
                    <a16:creationId xmlns:a16="http://schemas.microsoft.com/office/drawing/2014/main" id="{C7D620A7-C90A-21A0-5344-E6119CF0D76F}"/>
                  </a:ext>
                </a:extLst>
              </xdr:cNvPr>
              <xdr:cNvSpPr txBox="1"/>
            </xdr:nvSpPr>
            <xdr:spPr>
              <a:xfrm>
                <a:off x="7635241" y="3811602"/>
                <a:ext cx="1105986" cy="475582"/>
              </a:xfrm>
              <a:prstGeom prst="rect">
                <a:avLst/>
              </a:prstGeom>
              <a:solidFill>
                <a:srgbClr val="F77F00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s-ES" sz="1100" kern="1200">
                    <a:solidFill>
                      <a:schemeClr val="bg1"/>
                    </a:solidFill>
                  </a:rPr>
                  <a:t>%</a:t>
                </a:r>
                <a:r>
                  <a:rPr lang="es-ES" sz="1100" kern="1200" baseline="0">
                    <a:solidFill>
                      <a:schemeClr val="bg1"/>
                    </a:solidFill>
                  </a:rPr>
                  <a:t> Participación</a:t>
                </a:r>
                <a:endParaRPr lang="es-ES" sz="1100" kern="12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143" name="Rectángulo: esquinas superiores redondeadas 142">
                <a:extLst>
                  <a:ext uri="{FF2B5EF4-FFF2-40B4-BE49-F238E27FC236}">
                    <a16:creationId xmlns:a16="http://schemas.microsoft.com/office/drawing/2014/main" id="{E1133716-5203-B7A8-E814-1AC2464DD770}"/>
                  </a:ext>
                </a:extLst>
              </xdr:cNvPr>
              <xdr:cNvSpPr/>
            </xdr:nvSpPr>
            <xdr:spPr>
              <a:xfrm rot="10800000">
                <a:off x="7661878" y="4366275"/>
                <a:ext cx="1078262" cy="475583"/>
              </a:xfrm>
              <a:prstGeom prst="round2SameRect">
                <a:avLst/>
              </a:prstGeom>
              <a:noFill/>
              <a:ln w="57150"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 kern="1200"/>
              </a:p>
            </xdr:txBody>
          </xdr:sp>
          <xdr:sp macro="" textlink="Categoria!N81">
            <xdr:nvSpPr>
              <xdr:cNvPr id="144" name="CuadroTexto 143">
                <a:extLst>
                  <a:ext uri="{FF2B5EF4-FFF2-40B4-BE49-F238E27FC236}">
                    <a16:creationId xmlns:a16="http://schemas.microsoft.com/office/drawing/2014/main" id="{36452D6A-6828-10F1-7582-F83ABA986DEA}"/>
                  </a:ext>
                </a:extLst>
              </xdr:cNvPr>
              <xdr:cNvSpPr txBox="1"/>
            </xdr:nvSpPr>
            <xdr:spPr>
              <a:xfrm>
                <a:off x="7864493" y="4429635"/>
                <a:ext cx="768968" cy="38208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0F5DCE1-7C8C-46C0-97D7-B0599D0474CB}" type="TxLink">
                  <a:rPr lang="en-US" sz="1800" b="0" i="0" u="none" strike="noStrike" kern="1200">
                    <a:solidFill>
                      <a:srgbClr val="000000"/>
                    </a:solidFill>
                    <a:latin typeface="Arial Rounded MT Bold" panose="020F0704030504030204" pitchFamily="34" charset="0"/>
                    <a:ea typeface="Calibri"/>
                    <a:cs typeface="Calibri"/>
                  </a:rPr>
                  <a:pPr/>
                  <a:t>20%</a:t>
                </a:fld>
                <a:endParaRPr lang="es-ES" sz="7200" b="0" kern="1200">
                  <a:latin typeface="Arial Rounded MT Bold" panose="020F0704030504030204" pitchFamily="34" charset="0"/>
                </a:endParaRPr>
              </a:p>
            </xdr:txBody>
          </xdr:sp>
        </xdr:grpSp>
        <xdr:grpSp>
          <xdr:nvGrpSpPr>
            <xdr:cNvPr id="19" name="Grupo 18">
              <a:extLst>
                <a:ext uri="{FF2B5EF4-FFF2-40B4-BE49-F238E27FC236}">
                  <a16:creationId xmlns:a16="http://schemas.microsoft.com/office/drawing/2014/main" id="{219F672D-370F-1E9D-3715-73B010B7EA3C}"/>
                </a:ext>
              </a:extLst>
            </xdr:cNvPr>
            <xdr:cNvGrpSpPr/>
          </xdr:nvGrpSpPr>
          <xdr:grpSpPr>
            <a:xfrm>
              <a:off x="9258845" y="3697302"/>
              <a:ext cx="1341061" cy="1030256"/>
              <a:chOff x="9060180" y="3803982"/>
              <a:chExt cx="1341061" cy="1030256"/>
            </a:xfrm>
          </xdr:grpSpPr>
          <xdr:sp macro="" textlink="">
            <xdr:nvSpPr>
              <xdr:cNvPr id="139" name="CuadroTexto 138">
                <a:extLst>
                  <a:ext uri="{FF2B5EF4-FFF2-40B4-BE49-F238E27FC236}">
                    <a16:creationId xmlns:a16="http://schemas.microsoft.com/office/drawing/2014/main" id="{9B17F4A3-AA2E-2E58-C321-8238CF519B55}"/>
                  </a:ext>
                </a:extLst>
              </xdr:cNvPr>
              <xdr:cNvSpPr txBox="1"/>
            </xdr:nvSpPr>
            <xdr:spPr>
              <a:xfrm>
                <a:off x="9060180" y="3803982"/>
                <a:ext cx="1341061" cy="475583"/>
              </a:xfrm>
              <a:prstGeom prst="rect">
                <a:avLst/>
              </a:prstGeom>
              <a:solidFill>
                <a:srgbClr val="F77F00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s-ES" sz="1100" kern="1200" baseline="0">
                    <a:solidFill>
                      <a:schemeClr val="bg1"/>
                    </a:solidFill>
                  </a:rPr>
                  <a:t>Monto </a:t>
                </a:r>
                <a:r>
                  <a:rPr lang="es-ES" sz="1100" kern="1200">
                    <a:solidFill>
                      <a:schemeClr val="bg1"/>
                    </a:solidFill>
                  </a:rPr>
                  <a:t>Min</a:t>
                </a:r>
              </a:p>
            </xdr:txBody>
          </xdr:sp>
          <xdr:sp macro="" textlink="">
            <xdr:nvSpPr>
              <xdr:cNvPr id="140" name="Rectángulo: esquinas superiores redondeadas 139">
                <a:extLst>
                  <a:ext uri="{FF2B5EF4-FFF2-40B4-BE49-F238E27FC236}">
                    <a16:creationId xmlns:a16="http://schemas.microsoft.com/office/drawing/2014/main" id="{3382C822-495E-5B40-A2F7-8388ACAEF4C0}"/>
                  </a:ext>
                </a:extLst>
              </xdr:cNvPr>
              <xdr:cNvSpPr/>
            </xdr:nvSpPr>
            <xdr:spPr>
              <a:xfrm rot="10800000">
                <a:off x="9085305" y="4358655"/>
                <a:ext cx="1294218" cy="475583"/>
              </a:xfrm>
              <a:prstGeom prst="round2SameRect">
                <a:avLst/>
              </a:prstGeom>
              <a:noFill/>
              <a:ln w="57150"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 kern="1200"/>
              </a:p>
            </xdr:txBody>
          </xdr:sp>
          <xdr:sp macro="" textlink="Categoria!Q57">
            <xdr:nvSpPr>
              <xdr:cNvPr id="141" name="CuadroTexto 140">
                <a:extLst>
                  <a:ext uri="{FF2B5EF4-FFF2-40B4-BE49-F238E27FC236}">
                    <a16:creationId xmlns:a16="http://schemas.microsoft.com/office/drawing/2014/main" id="{7707828B-225A-62D8-C339-61999AC653CE}"/>
                  </a:ext>
                </a:extLst>
              </xdr:cNvPr>
              <xdr:cNvSpPr txBox="1"/>
            </xdr:nvSpPr>
            <xdr:spPr>
              <a:xfrm>
                <a:off x="9204095" y="4391263"/>
                <a:ext cx="1142855" cy="38208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fld id="{6B5E88DB-A2BA-4F80-BFAD-47CDF7FCAEEA}" type="TxLink">
                  <a:rPr lang="en-US" sz="1800" b="0" i="0" u="none" strike="noStrike" kern="1200">
                    <a:solidFill>
                      <a:srgbClr val="000000"/>
                    </a:solidFill>
                    <a:latin typeface="Arial Rounded MT Bold" panose="020F0704030504030204" pitchFamily="34" charset="0"/>
                    <a:ea typeface="Calibri"/>
                    <a:cs typeface="Calibri"/>
                  </a:rPr>
                  <a:pPr marL="0" indent="0"/>
                  <a:t>S/ 5.00</a:t>
                </a:fld>
                <a:endParaRPr lang="es-ES" sz="1800" b="0" i="0" u="none" strike="noStrike" kern="1200">
                  <a:solidFill>
                    <a:srgbClr val="000000"/>
                  </a:solidFill>
                  <a:latin typeface="Arial Rounded MT Bold" panose="020F0704030504030204" pitchFamily="34" charset="0"/>
                  <a:ea typeface="Calibri"/>
                  <a:cs typeface="Calibri"/>
                </a:endParaRPr>
              </a:p>
            </xdr:txBody>
          </xdr:sp>
        </xdr:grpSp>
        <xdr:grpSp>
          <xdr:nvGrpSpPr>
            <xdr:cNvPr id="21" name="Grupo 20">
              <a:extLst>
                <a:ext uri="{FF2B5EF4-FFF2-40B4-BE49-F238E27FC236}">
                  <a16:creationId xmlns:a16="http://schemas.microsoft.com/office/drawing/2014/main" id="{416A858E-6295-03CC-8422-9348FFE9785B}"/>
                </a:ext>
              </a:extLst>
            </xdr:cNvPr>
            <xdr:cNvGrpSpPr/>
          </xdr:nvGrpSpPr>
          <xdr:grpSpPr>
            <a:xfrm>
              <a:off x="11269981" y="3697303"/>
              <a:ext cx="1249680" cy="1030255"/>
              <a:chOff x="10911841" y="3880183"/>
              <a:chExt cx="1249680" cy="1030255"/>
            </a:xfrm>
          </xdr:grpSpPr>
          <xdr:sp macro="" textlink="">
            <xdr:nvSpPr>
              <xdr:cNvPr id="136" name="CuadroTexto 135">
                <a:extLst>
                  <a:ext uri="{FF2B5EF4-FFF2-40B4-BE49-F238E27FC236}">
                    <a16:creationId xmlns:a16="http://schemas.microsoft.com/office/drawing/2014/main" id="{30A128BF-10C3-99D8-043A-4C988B85DDA1}"/>
                  </a:ext>
                </a:extLst>
              </xdr:cNvPr>
              <xdr:cNvSpPr txBox="1"/>
            </xdr:nvSpPr>
            <xdr:spPr>
              <a:xfrm>
                <a:off x="10911841" y="3880183"/>
                <a:ext cx="1249680" cy="475583"/>
              </a:xfrm>
              <a:prstGeom prst="rect">
                <a:avLst/>
              </a:prstGeom>
              <a:solidFill>
                <a:srgbClr val="F77F00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s-ES" sz="1100" kern="1200">
                    <a:solidFill>
                      <a:schemeClr val="bg1"/>
                    </a:solidFill>
                  </a:rPr>
                  <a:t>Monto</a:t>
                </a:r>
                <a:r>
                  <a:rPr lang="es-ES" sz="1100" kern="1200" baseline="0">
                    <a:solidFill>
                      <a:schemeClr val="bg1"/>
                    </a:solidFill>
                  </a:rPr>
                  <a:t> </a:t>
                </a:r>
                <a:r>
                  <a:rPr lang="es-ES" sz="1100" kern="1200">
                    <a:solidFill>
                      <a:schemeClr val="bg1"/>
                    </a:solidFill>
                  </a:rPr>
                  <a:t>Máx</a:t>
                </a:r>
              </a:p>
            </xdr:txBody>
          </xdr:sp>
          <xdr:sp macro="" textlink="">
            <xdr:nvSpPr>
              <xdr:cNvPr id="137" name="Rectángulo: esquinas superiores redondeadas 136">
                <a:extLst>
                  <a:ext uri="{FF2B5EF4-FFF2-40B4-BE49-F238E27FC236}">
                    <a16:creationId xmlns:a16="http://schemas.microsoft.com/office/drawing/2014/main" id="{9C661E91-544E-9D14-5D70-5C2D6FD0A113}"/>
                  </a:ext>
                </a:extLst>
              </xdr:cNvPr>
              <xdr:cNvSpPr/>
            </xdr:nvSpPr>
            <xdr:spPr>
              <a:xfrm rot="10800000">
                <a:off x="10937633" y="4434855"/>
                <a:ext cx="1201026" cy="475583"/>
              </a:xfrm>
              <a:prstGeom prst="round2SameRect">
                <a:avLst/>
              </a:prstGeom>
              <a:noFill/>
              <a:ln w="57150"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 kern="1200"/>
              </a:p>
            </xdr:txBody>
          </xdr:sp>
          <xdr:sp macro="" textlink="Categoria!R57">
            <xdr:nvSpPr>
              <xdr:cNvPr id="138" name="CuadroTexto 137">
                <a:extLst>
                  <a:ext uri="{FF2B5EF4-FFF2-40B4-BE49-F238E27FC236}">
                    <a16:creationId xmlns:a16="http://schemas.microsoft.com/office/drawing/2014/main" id="{E20304E2-0DAF-CC99-576B-5EAF1F56CBD5}"/>
                  </a:ext>
                </a:extLst>
              </xdr:cNvPr>
              <xdr:cNvSpPr txBox="1"/>
            </xdr:nvSpPr>
            <xdr:spPr>
              <a:xfrm>
                <a:off x="10995402" y="4490051"/>
                <a:ext cx="1089917" cy="38208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fld id="{81747441-6101-4446-8A07-DE21815FFDF2}" type="TxLink">
                  <a:rPr lang="en-US" sz="1800" b="0" i="0" u="none" strike="noStrike" kern="1200">
                    <a:solidFill>
                      <a:srgbClr val="000000"/>
                    </a:solidFill>
                    <a:latin typeface="Arial Rounded MT Bold" panose="020F0704030504030204" pitchFamily="34" charset="0"/>
                    <a:ea typeface="Calibri"/>
                    <a:cs typeface="Calibri"/>
                  </a:rPr>
                  <a:pPr marL="0" indent="0"/>
                  <a:t>S/ 15.00</a:t>
                </a:fld>
                <a:endParaRPr lang="es-ES" sz="1800" b="0" i="0" u="none" strike="noStrike" kern="1200">
                  <a:solidFill>
                    <a:srgbClr val="000000"/>
                  </a:solidFill>
                  <a:latin typeface="Arial Rounded MT Bold" panose="020F0704030504030204" pitchFamily="34" charset="0"/>
                  <a:ea typeface="Calibri"/>
                  <a:cs typeface="Calibri"/>
                </a:endParaRPr>
              </a:p>
            </xdr:txBody>
          </xdr:sp>
        </xdr:grpSp>
      </xdr:grpSp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0CDD1268-28AD-4D9D-99C2-E30F0778AB1B}"/>
              </a:ext>
            </a:extLst>
          </xdr:cNvPr>
          <xdr:cNvSpPr txBox="1"/>
        </xdr:nvSpPr>
        <xdr:spPr>
          <a:xfrm>
            <a:off x="6462948" y="1696638"/>
            <a:ext cx="3983377" cy="4159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2000" b="1" kern="1200">
                <a:solidFill>
                  <a:schemeClr val="bg1"/>
                </a:solidFill>
                <a:latin typeface="Arial Rounded MT Bold" panose="020F0704030504030204" pitchFamily="34" charset="0"/>
                <a:ea typeface="Segoe UI Black" panose="020B0A02040204020203" pitchFamily="34" charset="0"/>
                <a:cs typeface="Arial" panose="020B0604020202020204" pitchFamily="34" charset="0"/>
              </a:rPr>
              <a:t>Análisis</a:t>
            </a:r>
            <a:r>
              <a:rPr lang="es-ES" sz="2000" b="1" kern="1200" baseline="0">
                <a:solidFill>
                  <a:schemeClr val="bg1"/>
                </a:solidFill>
                <a:latin typeface="Arial Rounded MT Bold" panose="020F0704030504030204" pitchFamily="34" charset="0"/>
                <a:ea typeface="Segoe UI Black" panose="020B0A02040204020203" pitchFamily="34" charset="0"/>
                <a:cs typeface="Arial" panose="020B0604020202020204" pitchFamily="34" charset="0"/>
              </a:rPr>
              <a:t> Diario por Motorizado</a:t>
            </a:r>
          </a:p>
          <a:p>
            <a:endParaRPr lang="es-ES" sz="1600" b="1" kern="12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47" name="Imagen 146">
                <a:extLst>
                  <a:ext uri="{FF2B5EF4-FFF2-40B4-BE49-F238E27FC236}">
                    <a16:creationId xmlns:a16="http://schemas.microsoft.com/office/drawing/2014/main" id="{82B52B02-89DC-4ECB-8DAE-D315CF4BD049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buscador" spid="_x0000_s2118"/>
                  </a:ext>
                </a:extLst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4238553" y="2209036"/>
                <a:ext cx="2575221" cy="2105929"/>
              </a:xfrm>
              <a:prstGeom prst="rect">
                <a:avLst/>
              </a:prstGeom>
              <a:ln>
                <a:noFill/>
              </a:ln>
              <a:effectLst>
                <a:outerShdw blurRad="292100" dist="139700" dir="2700000" algn="tl" rotWithShape="0">
                  <a:srgbClr val="333333">
                    <a:alpha val="65000"/>
                  </a:srgbClr>
                </a:outerShdw>
              </a:effectLst>
            </xdr:spPr>
          </xdr:pic>
        </mc:Choice>
        <mc:Fallback xmlns=""/>
      </mc:AlternateContent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3DCD1A3A-8413-BF5D-2AE7-E073E38A70C2}"/>
              </a:ext>
            </a:extLst>
          </xdr:cNvPr>
          <xdr:cNvGrpSpPr/>
        </xdr:nvGrpSpPr>
        <xdr:grpSpPr>
          <a:xfrm>
            <a:off x="9371500" y="2429283"/>
            <a:ext cx="2540608" cy="505532"/>
            <a:chOff x="10388683" y="2934405"/>
            <a:chExt cx="2550076" cy="513474"/>
          </a:xfrm>
        </xdr:grpSpPr>
        <xdr:sp macro="" textlink="">
          <xdr:nvSpPr>
            <xdr:cNvPr id="149" name="CuadroTexto 148">
              <a:extLst>
                <a:ext uri="{FF2B5EF4-FFF2-40B4-BE49-F238E27FC236}">
                  <a16:creationId xmlns:a16="http://schemas.microsoft.com/office/drawing/2014/main" id="{AC8FDFD2-6980-52F7-682B-6E70951A90DA}"/>
                </a:ext>
              </a:extLst>
            </xdr:cNvPr>
            <xdr:cNvSpPr txBox="1"/>
          </xdr:nvSpPr>
          <xdr:spPr>
            <a:xfrm>
              <a:off x="10388683" y="2934405"/>
              <a:ext cx="1028630" cy="487507"/>
            </a:xfrm>
            <a:prstGeom prst="rect">
              <a:avLst/>
            </a:prstGeom>
            <a:solidFill>
              <a:srgbClr val="F77F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ES" sz="1100" kern="1200">
                  <a:solidFill>
                    <a:schemeClr val="bg1"/>
                  </a:solidFill>
                </a:rPr>
                <a:t>Total</a:t>
              </a:r>
              <a:r>
                <a:rPr lang="es-ES" sz="1100" kern="1200" baseline="0">
                  <a:solidFill>
                    <a:schemeClr val="bg1"/>
                  </a:solidFill>
                </a:rPr>
                <a:t> de Monto</a:t>
              </a:r>
              <a:endParaRPr lang="es-ES" sz="1100" kern="12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0" name="Rectángulo: esquinas superiores redondeadas 149">
              <a:extLst>
                <a:ext uri="{FF2B5EF4-FFF2-40B4-BE49-F238E27FC236}">
                  <a16:creationId xmlns:a16="http://schemas.microsoft.com/office/drawing/2014/main" id="{4C03B93F-C892-92D6-CB13-5CF9AE112A7E}"/>
                </a:ext>
              </a:extLst>
            </xdr:cNvPr>
            <xdr:cNvSpPr/>
          </xdr:nvSpPr>
          <xdr:spPr>
            <a:xfrm rot="5400000">
              <a:off x="11986395" y="2495514"/>
              <a:ext cx="498276" cy="1406453"/>
            </a:xfrm>
            <a:prstGeom prst="round2SameRect">
              <a:avLst/>
            </a:prstGeom>
            <a:noFill/>
            <a:ln w="57150"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 kern="1200"/>
            </a:p>
          </xdr:txBody>
        </xdr:sp>
        <xdr:sp macro="" textlink="Categoria!P47">
          <xdr:nvSpPr>
            <xdr:cNvPr id="151" name="CuadroTexto 150">
              <a:extLst>
                <a:ext uri="{FF2B5EF4-FFF2-40B4-BE49-F238E27FC236}">
                  <a16:creationId xmlns:a16="http://schemas.microsoft.com/office/drawing/2014/main" id="{D2E8364A-B4D3-2CD1-3F22-11CBFFA3C868}"/>
                </a:ext>
              </a:extLst>
            </xdr:cNvPr>
            <xdr:cNvSpPr txBox="1"/>
          </xdr:nvSpPr>
          <xdr:spPr>
            <a:xfrm>
              <a:off x="11625795" y="3033217"/>
              <a:ext cx="1241120" cy="3097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E811E16A-B34C-437C-A5BD-4E58D82BCF74}" type="TxLink">
                <a:rPr lang="en-US" sz="1800" b="0" i="0" u="none" strike="noStrike" kern="1200">
                  <a:solidFill>
                    <a:srgbClr val="000000"/>
                  </a:solidFill>
                  <a:latin typeface="Arial Rounded MT Bold" panose="020F0704030504030204" pitchFamily="34" charset="0"/>
                  <a:ea typeface="Calibri"/>
                  <a:cs typeface="Calibri"/>
                </a:rPr>
                <a:pPr marL="0" indent="0"/>
                <a:t>S/ 57.00</a:t>
              </a:fld>
              <a:endParaRPr lang="es-ES" sz="1800" b="0" i="0" u="none" strike="noStrike" kern="1200">
                <a:solidFill>
                  <a:srgbClr val="000000"/>
                </a:solidFill>
                <a:latin typeface="Arial Rounded MT Bold" panose="020F0704030504030204" pitchFamily="34" charset="0"/>
                <a:ea typeface="Calibri"/>
                <a:cs typeface="Calibri"/>
              </a:endParaRPr>
            </a:p>
          </xdr:txBody>
        </xdr:sp>
      </xdr:grp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FBE63324-9942-458A-BA6B-CC12082D36B4}"/>
              </a:ext>
            </a:extLst>
          </xdr:cNvPr>
          <xdr:cNvSpPr txBox="1"/>
        </xdr:nvSpPr>
        <xdr:spPr>
          <a:xfrm>
            <a:off x="4834601" y="4260468"/>
            <a:ext cx="1355002" cy="479915"/>
          </a:xfrm>
          <a:prstGeom prst="rect">
            <a:avLst/>
          </a:prstGeom>
          <a:noFill/>
          <a:ln w="2857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es-ES" sz="1100" kern="1200">
              <a:solidFill>
                <a:schemeClr val="bg1"/>
              </a:solidFill>
            </a:endParaRPr>
          </a:p>
        </xdr:txBody>
      </xdr:sp>
      <xdr:sp macro="" textlink="Categoria!I36">
        <xdr:nvSpPr>
          <xdr:cNvPr id="131" name="CuadroTexto 130">
            <a:extLst>
              <a:ext uri="{FF2B5EF4-FFF2-40B4-BE49-F238E27FC236}">
                <a16:creationId xmlns:a16="http://schemas.microsoft.com/office/drawing/2014/main" id="{097F483B-A115-47B9-9B2D-343787E857E2}"/>
              </a:ext>
            </a:extLst>
          </xdr:cNvPr>
          <xdr:cNvSpPr txBox="1"/>
        </xdr:nvSpPr>
        <xdr:spPr>
          <a:xfrm>
            <a:off x="4961258" y="4302709"/>
            <a:ext cx="1201046" cy="3998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fld id="{2C2D4089-2962-43DA-A608-0CE01EF9FED4}" type="TxLink">
              <a:rPr lang="en-US" sz="2000" b="0" i="0" u="none" strike="noStrike" kern="1200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Roboto Black" panose="02000000000000000000" pitchFamily="2" charset="0"/>
              </a:rPr>
              <a:pPr marL="0" indent="0" algn="l"/>
              <a:t>altoke</a:t>
            </a:fld>
            <a:endParaRPr lang="es-ES" sz="2000" b="0" i="0" u="none" strike="noStrike" kern="1200">
              <a:solidFill>
                <a:srgbClr val="000000"/>
              </a:solidFill>
              <a:latin typeface="Roboto Black" panose="02000000000000000000" pitchFamily="2" charset="0"/>
              <a:ea typeface="Roboto Black" panose="02000000000000000000" pitchFamily="2" charset="0"/>
              <a:cs typeface="Roboto Black" panose="02000000000000000000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0</xdr:row>
      <xdr:rowOff>53340</xdr:rowOff>
    </xdr:from>
    <xdr:to>
      <xdr:col>0</xdr:col>
      <xdr:colOff>906780</xdr:colOff>
      <xdr:row>0</xdr:row>
      <xdr:rowOff>822960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DE0A769-DE85-BAF0-5178-4AFAD4F3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53340"/>
          <a:ext cx="769620" cy="769620"/>
        </a:xfrm>
        <a:prstGeom prst="rect">
          <a:avLst/>
        </a:prstGeom>
      </xdr:spPr>
    </xdr:pic>
    <xdr:clientData/>
  </xdr:twoCellAnchor>
  <xdr:twoCellAnchor editAs="oneCell">
    <xdr:from>
      <xdr:col>0</xdr:col>
      <xdr:colOff>157620</xdr:colOff>
      <xdr:row>3</xdr:row>
      <xdr:rowOff>60960</xdr:rowOff>
    </xdr:from>
    <xdr:to>
      <xdr:col>0</xdr:col>
      <xdr:colOff>929640</xdr:colOff>
      <xdr:row>3</xdr:row>
      <xdr:rowOff>832980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DF296B8-3A08-2158-B23A-6C7FE72E2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20" y="2689860"/>
          <a:ext cx="772020" cy="77202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63780</xdr:rowOff>
    </xdr:from>
    <xdr:to>
      <xdr:col>0</xdr:col>
      <xdr:colOff>944880</xdr:colOff>
      <xdr:row>1</xdr:row>
      <xdr:rowOff>797410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7AD5A63-7516-3675-CA97-38D8E5740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940080"/>
          <a:ext cx="868680" cy="733630"/>
        </a:xfrm>
        <a:prstGeom prst="rect">
          <a:avLst/>
        </a:prstGeom>
      </xdr:spPr>
    </xdr:pic>
    <xdr:clientData/>
  </xdr:twoCellAnchor>
  <xdr:twoCellAnchor editAs="oneCell">
    <xdr:from>
      <xdr:col>0</xdr:col>
      <xdr:colOff>107100</xdr:colOff>
      <xdr:row>2</xdr:row>
      <xdr:rowOff>61381</xdr:rowOff>
    </xdr:from>
    <xdr:to>
      <xdr:col>0</xdr:col>
      <xdr:colOff>883920</xdr:colOff>
      <xdr:row>2</xdr:row>
      <xdr:rowOff>814619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59DD98E-8864-A721-84EF-7ABCFF5B3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00" y="1813981"/>
          <a:ext cx="776820" cy="753238"/>
        </a:xfrm>
        <a:prstGeom prst="rect">
          <a:avLst/>
        </a:prstGeom>
      </xdr:spPr>
    </xdr:pic>
    <xdr:clientData/>
  </xdr:twoCellAnchor>
  <xdr:twoCellAnchor editAs="oneCell">
    <xdr:from>
      <xdr:col>0</xdr:col>
      <xdr:colOff>83821</xdr:colOff>
      <xdr:row>4</xdr:row>
      <xdr:rowOff>174472</xdr:rowOff>
    </xdr:from>
    <xdr:to>
      <xdr:col>0</xdr:col>
      <xdr:colOff>975361</xdr:colOff>
      <xdr:row>4</xdr:row>
      <xdr:rowOff>738104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FAC557D-A89D-AA6F-168A-51A3C68FC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1" y="3679672"/>
          <a:ext cx="891540" cy="56363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dair Jesus Yauri" refreshedDate="45823.829951157408" createdVersion="8" refreshedVersion="8" minRefreshableVersion="3" recordCount="87" xr:uid="{49B0FA9B-3FC5-4EB6-96FE-BD129DC83BAE}">
  <cacheSource type="worksheet">
    <worksheetSource name="datos"/>
  </cacheSource>
  <cacheFields count="9">
    <cacheField name="Mes" numFmtId="164">
      <sharedItems count="3">
        <s v="Marzo"/>
        <s v="Febrero"/>
        <s v="Enero"/>
      </sharedItems>
    </cacheField>
    <cacheField name="Fecha" numFmtId="14">
      <sharedItems containsSemiMixedTypes="0" containsNonDate="0" containsDate="1" containsString="0" minDate="2025-01-01T00:00:00" maxDate="2025-03-04T00:00:00" count="9">
        <d v="2025-03-03T00:00:00"/>
        <d v="2025-03-01T00:00:00"/>
        <d v="2025-02-03T00:00:00"/>
        <d v="2025-03-02T00:00:00"/>
        <d v="2025-02-02T00:00:00"/>
        <d v="2025-02-01T00:00:00"/>
        <d v="2025-01-03T00:00:00"/>
        <d v="2025-01-02T00:00:00"/>
        <d v="2025-01-01T00:00:00"/>
      </sharedItems>
      <fieldGroup par="8"/>
    </cacheField>
    <cacheField name="Dia" numFmtId="14">
      <sharedItems count="3">
        <s v="03"/>
        <s v="01"/>
        <s v="02"/>
      </sharedItems>
    </cacheField>
    <cacheField name="Motorizado" numFmtId="164">
      <sharedItems count="5">
        <s v="Rayo"/>
        <s v="Escorpio"/>
        <s v="Altoke"/>
        <s v="Rappi Manchay"/>
        <s v="Otros"/>
      </sharedItems>
    </cacheField>
    <cacheField name="Entrega Nº" numFmtId="1">
      <sharedItems containsSemiMixedTypes="0" containsString="0" containsNumber="1" containsInteger="1" minValue="1" maxValue="4"/>
    </cacheField>
    <cacheField name="Producto" numFmtId="0">
      <sharedItems count="7">
        <s v="Alitas"/>
        <s v="Ranchera"/>
        <s v="Brosters"/>
        <s v="Bebidas"/>
        <s v="Postre"/>
        <s v="Conos"/>
        <s v="Salchipapas"/>
      </sharedItems>
    </cacheField>
    <cacheField name="Total Cobro" numFmtId="164">
      <sharedItems containsSemiMixedTypes="0" containsString="0" containsNumber="1" minValue="4" maxValue="40"/>
    </cacheField>
    <cacheField name="Días (Fecha)" numFmtId="0" databaseField="0">
      <fieldGroup base="1">
        <rangePr groupBy="days" startDate="2025-01-01T00:00:00" endDate="2025-03-04T00:00:00"/>
        <groupItems count="368">
          <s v="&lt;1/01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t"/>
          <s v="2-Set"/>
          <s v="3-Set"/>
          <s v="4-Set"/>
          <s v="5-Set"/>
          <s v="6-Set"/>
          <s v="7-Set"/>
          <s v="8-Set"/>
          <s v="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4/03/2025"/>
        </groupItems>
      </fieldGroup>
    </cacheField>
    <cacheField name="Meses (Fecha)" numFmtId="0" databaseField="0">
      <fieldGroup base="1">
        <rangePr groupBy="months" startDate="2025-01-01T00:00:00" endDate="2025-03-04T00:00:00"/>
        <groupItems count="14">
          <s v="&lt;1/01/2025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4/03/2025"/>
        </groupItems>
      </fieldGroup>
    </cacheField>
  </cacheFields>
  <extLst>
    <ext xmlns:x14="http://schemas.microsoft.com/office/spreadsheetml/2009/9/main" uri="{725AE2AE-9491-48be-B2B4-4EB974FC3084}">
      <x14:pivotCacheDefinition pivotCacheId="212922024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x v="0"/>
    <x v="0"/>
    <n v="1"/>
    <x v="0"/>
    <n v="18"/>
  </r>
  <r>
    <x v="0"/>
    <x v="0"/>
    <x v="0"/>
    <x v="1"/>
    <n v="3"/>
    <x v="1"/>
    <n v="21"/>
  </r>
  <r>
    <x v="0"/>
    <x v="0"/>
    <x v="0"/>
    <x v="1"/>
    <n v="2"/>
    <x v="2"/>
    <n v="27"/>
  </r>
  <r>
    <x v="0"/>
    <x v="0"/>
    <x v="0"/>
    <x v="1"/>
    <n v="1"/>
    <x v="0"/>
    <n v="33"/>
  </r>
  <r>
    <x v="0"/>
    <x v="0"/>
    <x v="0"/>
    <x v="2"/>
    <n v="2"/>
    <x v="3"/>
    <n v="25"/>
  </r>
  <r>
    <x v="0"/>
    <x v="0"/>
    <x v="0"/>
    <x v="2"/>
    <n v="1"/>
    <x v="4"/>
    <n v="15"/>
  </r>
  <r>
    <x v="0"/>
    <x v="0"/>
    <x v="0"/>
    <x v="3"/>
    <n v="3"/>
    <x v="4"/>
    <n v="15"/>
  </r>
  <r>
    <x v="0"/>
    <x v="0"/>
    <x v="0"/>
    <x v="3"/>
    <n v="2"/>
    <x v="0"/>
    <n v="15"/>
  </r>
  <r>
    <x v="0"/>
    <x v="0"/>
    <x v="0"/>
    <x v="3"/>
    <n v="1"/>
    <x v="5"/>
    <n v="14"/>
  </r>
  <r>
    <x v="0"/>
    <x v="1"/>
    <x v="1"/>
    <x v="4"/>
    <n v="1"/>
    <x v="5"/>
    <n v="14"/>
  </r>
  <r>
    <x v="0"/>
    <x v="1"/>
    <x v="1"/>
    <x v="0"/>
    <n v="1"/>
    <x v="5"/>
    <n v="12"/>
  </r>
  <r>
    <x v="0"/>
    <x v="1"/>
    <x v="1"/>
    <x v="1"/>
    <n v="2"/>
    <x v="0"/>
    <n v="24"/>
  </r>
  <r>
    <x v="0"/>
    <x v="1"/>
    <x v="1"/>
    <x v="1"/>
    <n v="1"/>
    <x v="1"/>
    <n v="30"/>
  </r>
  <r>
    <x v="0"/>
    <x v="1"/>
    <x v="1"/>
    <x v="2"/>
    <n v="2"/>
    <x v="6"/>
    <n v="30"/>
  </r>
  <r>
    <x v="0"/>
    <x v="1"/>
    <x v="1"/>
    <x v="2"/>
    <n v="1"/>
    <x v="0"/>
    <n v="26"/>
  </r>
  <r>
    <x v="0"/>
    <x v="1"/>
    <x v="1"/>
    <x v="3"/>
    <n v="2"/>
    <x v="5"/>
    <n v="22"/>
  </r>
  <r>
    <x v="0"/>
    <x v="1"/>
    <x v="1"/>
    <x v="3"/>
    <n v="1"/>
    <x v="6"/>
    <n v="25"/>
  </r>
  <r>
    <x v="1"/>
    <x v="2"/>
    <x v="0"/>
    <x v="4"/>
    <n v="2"/>
    <x v="0"/>
    <n v="25"/>
  </r>
  <r>
    <x v="1"/>
    <x v="2"/>
    <x v="0"/>
    <x v="4"/>
    <n v="1"/>
    <x v="5"/>
    <n v="14"/>
  </r>
  <r>
    <x v="1"/>
    <x v="2"/>
    <x v="0"/>
    <x v="0"/>
    <n v="1"/>
    <x v="3"/>
    <n v="11"/>
  </r>
  <r>
    <x v="1"/>
    <x v="2"/>
    <x v="0"/>
    <x v="1"/>
    <n v="3"/>
    <x v="0"/>
    <n v="25"/>
  </r>
  <r>
    <x v="1"/>
    <x v="2"/>
    <x v="0"/>
    <x v="1"/>
    <n v="2"/>
    <x v="6"/>
    <n v="14"/>
  </r>
  <r>
    <x v="1"/>
    <x v="2"/>
    <x v="0"/>
    <x v="1"/>
    <n v="1"/>
    <x v="5"/>
    <n v="14"/>
  </r>
  <r>
    <x v="1"/>
    <x v="2"/>
    <x v="0"/>
    <x v="2"/>
    <n v="1"/>
    <x v="4"/>
    <n v="11"/>
  </r>
  <r>
    <x v="1"/>
    <x v="2"/>
    <x v="0"/>
    <x v="3"/>
    <n v="2"/>
    <x v="6"/>
    <n v="14"/>
  </r>
  <r>
    <x v="1"/>
    <x v="2"/>
    <x v="0"/>
    <x v="3"/>
    <n v="1"/>
    <x v="2"/>
    <n v="22"/>
  </r>
  <r>
    <x v="0"/>
    <x v="3"/>
    <x v="2"/>
    <x v="4"/>
    <n v="1"/>
    <x v="2"/>
    <n v="22"/>
  </r>
  <r>
    <x v="0"/>
    <x v="3"/>
    <x v="2"/>
    <x v="0"/>
    <n v="2"/>
    <x v="3"/>
    <n v="15"/>
  </r>
  <r>
    <x v="0"/>
    <x v="3"/>
    <x v="2"/>
    <x v="0"/>
    <n v="1"/>
    <x v="5"/>
    <n v="11"/>
  </r>
  <r>
    <x v="0"/>
    <x v="3"/>
    <x v="2"/>
    <x v="1"/>
    <n v="2"/>
    <x v="6"/>
    <n v="17"/>
  </r>
  <r>
    <x v="0"/>
    <x v="3"/>
    <x v="2"/>
    <x v="1"/>
    <n v="1"/>
    <x v="6"/>
    <n v="22"/>
  </r>
  <r>
    <x v="0"/>
    <x v="3"/>
    <x v="2"/>
    <x v="2"/>
    <n v="2"/>
    <x v="2"/>
    <n v="18"/>
  </r>
  <r>
    <x v="0"/>
    <x v="3"/>
    <x v="2"/>
    <x v="2"/>
    <n v="1"/>
    <x v="0"/>
    <n v="14"/>
  </r>
  <r>
    <x v="0"/>
    <x v="3"/>
    <x v="2"/>
    <x v="3"/>
    <n v="2"/>
    <x v="1"/>
    <n v="17"/>
  </r>
  <r>
    <x v="0"/>
    <x v="3"/>
    <x v="2"/>
    <x v="3"/>
    <n v="1"/>
    <x v="1"/>
    <n v="12"/>
  </r>
  <r>
    <x v="1"/>
    <x v="4"/>
    <x v="2"/>
    <x v="4"/>
    <n v="1"/>
    <x v="3"/>
    <n v="17"/>
  </r>
  <r>
    <x v="1"/>
    <x v="4"/>
    <x v="2"/>
    <x v="0"/>
    <n v="2"/>
    <x v="5"/>
    <n v="14"/>
  </r>
  <r>
    <x v="1"/>
    <x v="4"/>
    <x v="2"/>
    <x v="0"/>
    <n v="1"/>
    <x v="0"/>
    <n v="18"/>
  </r>
  <r>
    <x v="1"/>
    <x v="4"/>
    <x v="2"/>
    <x v="1"/>
    <n v="4"/>
    <x v="0"/>
    <n v="18"/>
  </r>
  <r>
    <x v="1"/>
    <x v="4"/>
    <x v="2"/>
    <x v="1"/>
    <n v="3"/>
    <x v="2"/>
    <n v="27"/>
  </r>
  <r>
    <x v="1"/>
    <x v="4"/>
    <x v="2"/>
    <x v="1"/>
    <n v="2"/>
    <x v="0"/>
    <n v="25"/>
  </r>
  <r>
    <x v="1"/>
    <x v="4"/>
    <x v="2"/>
    <x v="1"/>
    <n v="1"/>
    <x v="5"/>
    <n v="24"/>
  </r>
  <r>
    <x v="1"/>
    <x v="4"/>
    <x v="2"/>
    <x v="2"/>
    <n v="2"/>
    <x v="5"/>
    <n v="12"/>
  </r>
  <r>
    <x v="1"/>
    <x v="4"/>
    <x v="2"/>
    <x v="2"/>
    <n v="1"/>
    <x v="0"/>
    <n v="14"/>
  </r>
  <r>
    <x v="1"/>
    <x v="4"/>
    <x v="2"/>
    <x v="3"/>
    <n v="3"/>
    <x v="0"/>
    <n v="14"/>
  </r>
  <r>
    <x v="1"/>
    <x v="4"/>
    <x v="2"/>
    <x v="3"/>
    <n v="2"/>
    <x v="4"/>
    <n v="10"/>
  </r>
  <r>
    <x v="1"/>
    <x v="4"/>
    <x v="2"/>
    <x v="3"/>
    <n v="1"/>
    <x v="4"/>
    <n v="8"/>
  </r>
  <r>
    <x v="1"/>
    <x v="5"/>
    <x v="1"/>
    <x v="4"/>
    <n v="2"/>
    <x v="4"/>
    <n v="4"/>
  </r>
  <r>
    <x v="1"/>
    <x v="5"/>
    <x v="1"/>
    <x v="4"/>
    <n v="1"/>
    <x v="5"/>
    <n v="8"/>
  </r>
  <r>
    <x v="1"/>
    <x v="5"/>
    <x v="1"/>
    <x v="0"/>
    <n v="1"/>
    <x v="0"/>
    <n v="17"/>
  </r>
  <r>
    <x v="1"/>
    <x v="5"/>
    <x v="1"/>
    <x v="1"/>
    <n v="3"/>
    <x v="3"/>
    <n v="22"/>
  </r>
  <r>
    <x v="1"/>
    <x v="5"/>
    <x v="1"/>
    <x v="1"/>
    <n v="2"/>
    <x v="0"/>
    <n v="18.25"/>
  </r>
  <r>
    <x v="1"/>
    <x v="5"/>
    <x v="1"/>
    <x v="1"/>
    <n v="1"/>
    <x v="2"/>
    <n v="18"/>
  </r>
  <r>
    <x v="1"/>
    <x v="5"/>
    <x v="1"/>
    <x v="2"/>
    <n v="3"/>
    <x v="2"/>
    <n v="14"/>
  </r>
  <r>
    <x v="1"/>
    <x v="5"/>
    <x v="1"/>
    <x v="2"/>
    <n v="2"/>
    <x v="2"/>
    <n v="16"/>
  </r>
  <r>
    <x v="1"/>
    <x v="5"/>
    <x v="1"/>
    <x v="2"/>
    <n v="1"/>
    <x v="1"/>
    <n v="21"/>
  </r>
  <r>
    <x v="1"/>
    <x v="5"/>
    <x v="1"/>
    <x v="3"/>
    <n v="2"/>
    <x v="1"/>
    <n v="14"/>
  </r>
  <r>
    <x v="1"/>
    <x v="5"/>
    <x v="1"/>
    <x v="3"/>
    <n v="1"/>
    <x v="0"/>
    <n v="18"/>
  </r>
  <r>
    <x v="2"/>
    <x v="6"/>
    <x v="0"/>
    <x v="0"/>
    <n v="2"/>
    <x v="2"/>
    <n v="7"/>
  </r>
  <r>
    <x v="2"/>
    <x v="6"/>
    <x v="0"/>
    <x v="0"/>
    <n v="1"/>
    <x v="2"/>
    <n v="8"/>
  </r>
  <r>
    <x v="2"/>
    <x v="6"/>
    <x v="0"/>
    <x v="1"/>
    <n v="4"/>
    <x v="2"/>
    <n v="19"/>
  </r>
  <r>
    <x v="2"/>
    <x v="6"/>
    <x v="0"/>
    <x v="1"/>
    <n v="3"/>
    <x v="4"/>
    <n v="22"/>
  </r>
  <r>
    <x v="2"/>
    <x v="6"/>
    <x v="0"/>
    <x v="1"/>
    <n v="2"/>
    <x v="1"/>
    <n v="17"/>
  </r>
  <r>
    <x v="2"/>
    <x v="6"/>
    <x v="0"/>
    <x v="1"/>
    <n v="1"/>
    <x v="1"/>
    <n v="8"/>
  </r>
  <r>
    <x v="2"/>
    <x v="6"/>
    <x v="0"/>
    <x v="2"/>
    <n v="3"/>
    <x v="3"/>
    <n v="15"/>
  </r>
  <r>
    <x v="2"/>
    <x v="6"/>
    <x v="0"/>
    <x v="2"/>
    <n v="2"/>
    <x v="4"/>
    <n v="8"/>
  </r>
  <r>
    <x v="2"/>
    <x v="6"/>
    <x v="0"/>
    <x v="2"/>
    <n v="1"/>
    <x v="4"/>
    <n v="5"/>
  </r>
  <r>
    <x v="2"/>
    <x v="6"/>
    <x v="0"/>
    <x v="3"/>
    <n v="2"/>
    <x v="5"/>
    <n v="5"/>
  </r>
  <r>
    <x v="2"/>
    <x v="6"/>
    <x v="0"/>
    <x v="3"/>
    <n v="1"/>
    <x v="5"/>
    <n v="23"/>
  </r>
  <r>
    <x v="2"/>
    <x v="7"/>
    <x v="2"/>
    <x v="4"/>
    <n v="1"/>
    <x v="0"/>
    <n v="23"/>
  </r>
  <r>
    <x v="2"/>
    <x v="7"/>
    <x v="2"/>
    <x v="0"/>
    <n v="2"/>
    <x v="4"/>
    <n v="9"/>
  </r>
  <r>
    <x v="2"/>
    <x v="7"/>
    <x v="2"/>
    <x v="0"/>
    <n v="1"/>
    <x v="0"/>
    <n v="14"/>
  </r>
  <r>
    <x v="2"/>
    <x v="7"/>
    <x v="2"/>
    <x v="1"/>
    <n v="2"/>
    <x v="2"/>
    <n v="40"/>
  </r>
  <r>
    <x v="2"/>
    <x v="7"/>
    <x v="2"/>
    <x v="1"/>
    <n v="1"/>
    <x v="6"/>
    <n v="22"/>
  </r>
  <r>
    <x v="2"/>
    <x v="7"/>
    <x v="2"/>
    <x v="2"/>
    <n v="1"/>
    <x v="6"/>
    <n v="14"/>
  </r>
  <r>
    <x v="2"/>
    <x v="7"/>
    <x v="2"/>
    <x v="3"/>
    <n v="3"/>
    <x v="2"/>
    <n v="17"/>
  </r>
  <r>
    <x v="2"/>
    <x v="7"/>
    <x v="2"/>
    <x v="3"/>
    <n v="1"/>
    <x v="4"/>
    <n v="8"/>
  </r>
  <r>
    <x v="2"/>
    <x v="7"/>
    <x v="2"/>
    <x v="3"/>
    <n v="2"/>
    <x v="0"/>
    <n v="18"/>
  </r>
  <r>
    <x v="2"/>
    <x v="7"/>
    <x v="2"/>
    <x v="3"/>
    <n v="1"/>
    <x v="3"/>
    <n v="10"/>
  </r>
  <r>
    <x v="2"/>
    <x v="8"/>
    <x v="1"/>
    <x v="4"/>
    <n v="1"/>
    <x v="4"/>
    <n v="10"/>
  </r>
  <r>
    <x v="2"/>
    <x v="8"/>
    <x v="1"/>
    <x v="0"/>
    <n v="2"/>
    <x v="3"/>
    <n v="12"/>
  </r>
  <r>
    <x v="2"/>
    <x v="8"/>
    <x v="1"/>
    <x v="0"/>
    <n v="1"/>
    <x v="4"/>
    <n v="10"/>
  </r>
  <r>
    <x v="2"/>
    <x v="8"/>
    <x v="1"/>
    <x v="1"/>
    <n v="3"/>
    <x v="0"/>
    <n v="18"/>
  </r>
  <r>
    <x v="2"/>
    <x v="8"/>
    <x v="1"/>
    <x v="1"/>
    <n v="2"/>
    <x v="6"/>
    <n v="40"/>
  </r>
  <r>
    <x v="2"/>
    <x v="8"/>
    <x v="1"/>
    <x v="1"/>
    <n v="1"/>
    <x v="1"/>
    <n v="20"/>
  </r>
  <r>
    <x v="2"/>
    <x v="8"/>
    <x v="1"/>
    <x v="2"/>
    <n v="1"/>
    <x v="2"/>
    <n v="15"/>
  </r>
  <r>
    <x v="2"/>
    <x v="8"/>
    <x v="1"/>
    <x v="3"/>
    <n v="1"/>
    <x v="0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7563-E160-4E70-93C3-5B4607340B15}" name="line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H19:I23" firstHeaderRow="1" firstDataRow="1" firstDataCol="1"/>
  <pivotFields count="9">
    <pivotField showAll="0"/>
    <pivotField axis="axisRow"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numFmtId="1" showAll="0"/>
    <pivotField showAll="0"/>
    <pivotField dataField="1" numFmtId="164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8"/>
    <field x="7"/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a de Total Cobro" fld="6" baseField="0" baseItem="0" numFmtId="164"/>
  </dataFields>
  <chartFormats count="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F7EE4-81E7-4F37-BA61-6360995E9EE0}" name="barr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C19:D25" firstHeaderRow="1" firstDataRow="1" firstDataCol="1"/>
  <pivotFields count="9">
    <pivotField showAll="0">
      <items count="4">
        <item x="2"/>
        <item h="1" x="1"/>
        <item h="1" x="0"/>
        <item t="default"/>
      </items>
    </pivotField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 sortType="ascending">
      <items count="6">
        <item x="2"/>
        <item x="1"/>
        <item x="4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showAll="0"/>
    <pivotField dataField="1" numFmtId="16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6">
    <i>
      <x v="2"/>
    </i>
    <i>
      <x/>
    </i>
    <i>
      <x v="4"/>
    </i>
    <i>
      <x v="3"/>
    </i>
    <i>
      <x v="1"/>
    </i>
    <i t="grand">
      <x/>
    </i>
  </rowItems>
  <colItems count="1">
    <i/>
  </colItems>
  <dataFields count="1">
    <dataField name="Suma de Total Cobro" fld="6" baseField="0" baseItem="0" numFmtId="164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763EFD-53ED-4D38-B158-72995CDD01A2}" name="cant_entreg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36:N38" firstHeaderRow="1" firstDataRow="1" firstDataCol="1"/>
  <pivotFields count="9">
    <pivotField showAll="0">
      <items count="4">
        <item x="2"/>
        <item h="1" x="1"/>
        <item h="1" x="0"/>
        <item t="default"/>
      </items>
    </pivotField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>
      <items count="6">
        <item x="2"/>
        <item h="1" x="1"/>
        <item h="1" x="4"/>
        <item h="1" x="3"/>
        <item h="1" x="0"/>
        <item t="default"/>
      </items>
    </pivotField>
    <pivotField dataField="1" numFmtId="1" showAll="0"/>
    <pivotField showAll="0"/>
    <pivotField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Cuenta de Entrega Nº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92AFB6-9355-40E0-B18C-4630ABF063E5}" name="porcentaj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66:N72" firstHeaderRow="1" firstDataRow="1" firstDataCol="1"/>
  <pivotFields count="9">
    <pivotField showAll="0"/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>
      <items count="6">
        <item x="2"/>
        <item x="1"/>
        <item x="4"/>
        <item x="3"/>
        <item x="0"/>
        <item t="default"/>
      </items>
    </pivotField>
    <pivotField dataField="1" numFmtId="1" showAll="0"/>
    <pivotField showAll="0"/>
    <pivotField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Entrega Nº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AA99C8-7A6B-474C-9BBC-753E59332AD0}" name="general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2:D38" firstHeaderRow="0" firstDataRow="1" firstDataCol="1"/>
  <pivotFields count="9">
    <pivotField showAll="0">
      <items count="4">
        <item x="2"/>
        <item h="1" x="1"/>
        <item h="1" x="0"/>
        <item t="default"/>
      </items>
    </pivotField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/>
    <pivotField axis="axisRow" showAll="0">
      <items count="6">
        <item x="2"/>
        <item x="1"/>
        <item x="4"/>
        <item x="3"/>
        <item x="0"/>
        <item t="default"/>
      </items>
    </pivotField>
    <pivotField dataField="1" numFmtId="1" showAll="0"/>
    <pivotField showAll="0"/>
    <pivotField dataField="1"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Total Cobro" fld="6" baseField="0" baseItem="0" numFmtId="164"/>
    <dataField name="Cuenta de Entrega Nº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1A07D-A2B3-4C8D-8088-C381F4C974DD}" name="total_cobr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46:N48" firstHeaderRow="1" firstDataRow="1" firstDataCol="1"/>
  <pivotFields count="9">
    <pivotField showAll="0">
      <items count="4">
        <item x="2"/>
        <item h="1" x="1"/>
        <item h="1" x="0"/>
        <item t="default"/>
      </items>
    </pivotField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>
      <items count="6">
        <item x="2"/>
        <item h="1" x="1"/>
        <item h="1" x="4"/>
        <item h="1" x="3"/>
        <item h="1" x="0"/>
        <item t="default"/>
      </items>
    </pivotField>
    <pivotField numFmtId="1" showAll="0"/>
    <pivotField showAll="0"/>
    <pivotField dataField="1"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Suma de Total Cobro" fld="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6D1E-7DFF-4801-86C7-C2F893AE4BCE}" name="embud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M19:N25" firstHeaderRow="1" firstDataRow="1" firstDataCol="1"/>
  <pivotFields count="9">
    <pivotField showAll="0">
      <items count="4">
        <item x="2"/>
        <item h="1" x="1"/>
        <item h="1" x="0"/>
        <item t="default"/>
      </items>
    </pivotField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 sortType="ascending">
      <items count="6">
        <item x="2"/>
        <item x="1"/>
        <item x="4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" showAll="0"/>
    <pivotField showAll="0"/>
    <pivotField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6">
    <i>
      <x v="2"/>
    </i>
    <i>
      <x/>
    </i>
    <i>
      <x v="4"/>
    </i>
    <i>
      <x v="3"/>
    </i>
    <i>
      <x v="1"/>
    </i>
    <i t="grand">
      <x/>
    </i>
  </rowItems>
  <colItems count="1">
    <i/>
  </colItems>
  <dataFields count="1">
    <dataField name="Cuenta de Entrega Nº" fld="4" subtotal="count" baseField="0" baseItem="0"/>
  </dataFields>
  <chartFormats count="19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5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5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97673-B697-4F2A-96EE-FE2FAFB4823D}" name="imagen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H35:H36" firstHeaderRow="1" firstDataRow="1" firstDataCol="1"/>
  <pivotFields count="9">
    <pivotField showAll="0"/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/>
    <pivotField axis="axisRow" showAll="0">
      <items count="6">
        <item x="2"/>
        <item h="1" x="1"/>
        <item h="1" x="4"/>
        <item h="1" x="3"/>
        <item h="1" x="0"/>
        <item t="default"/>
      </items>
    </pivotField>
    <pivotField numFmtId="1" showAll="0"/>
    <pivotField showAll="0"/>
    <pivotField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1">
    <i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5FC8D-1447-4837-BF69-32A7F7DCAA11}" name="max_mi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56:O58" firstHeaderRow="0" firstDataRow="1" firstDataCol="1"/>
  <pivotFields count="9">
    <pivotField showAll="0">
      <items count="4">
        <item x="2"/>
        <item h="1" x="1"/>
        <item h="1" x="0"/>
        <item t="default"/>
      </items>
    </pivotField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axis="axisRow" showAll="0">
      <items count="6">
        <item x="2"/>
        <item h="1" x="1"/>
        <item h="1" x="4"/>
        <item h="1" x="3"/>
        <item h="1" x="0"/>
        <item t="default"/>
      </items>
    </pivotField>
    <pivotField numFmtId="1" showAll="0"/>
    <pivotField showAll="0"/>
    <pivotField dataField="1"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Total Cobro" fld="6" subtotal="max" baseField="0" baseItem="0" numFmtId="164"/>
    <dataField name="Mín. de Total Cobro" fld="6" subtotal="min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89F55-62D9-42F3-9A9A-7B50420D707D}" name="general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6:C52" firstHeaderRow="1" firstDataRow="1" firstDataCol="1"/>
  <pivotFields count="9">
    <pivotField showAll="0">
      <items count="4">
        <item x="2"/>
        <item h="1" x="1"/>
        <item h="1" x="0"/>
        <item t="default"/>
      </items>
    </pivotField>
    <pivotField numFmtId="14" showAll="0">
      <items count="10">
        <item x="8"/>
        <item x="7"/>
        <item x="6"/>
        <item x="5"/>
        <item x="4"/>
        <item x="2"/>
        <item x="1"/>
        <item x="3"/>
        <item x="0"/>
        <item t="default"/>
      </items>
    </pivotField>
    <pivotField showAll="0"/>
    <pivotField axis="axisRow" showAll="0">
      <items count="6">
        <item x="2"/>
        <item x="1"/>
        <item x="4"/>
        <item x="3"/>
        <item x="0"/>
        <item t="default"/>
      </items>
    </pivotField>
    <pivotField dataField="1" numFmtId="1" showAll="0"/>
    <pivotField showAll="0"/>
    <pivotField numFmtId="164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Entrega Nº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a" xr10:uid="{BFEE4A50-1DF3-486A-AE74-96077B0F693B}" sourceName="Dia">
  <pivotTables>
    <pivotTable tabId="1" name="barras"/>
    <pivotTable tabId="1" name="embudo"/>
    <pivotTable tabId="1" name="cant_entregas"/>
    <pivotTable tabId="1" name="total_cobro"/>
    <pivotTable tabId="1" name="porcentaje"/>
    <pivotTable tabId="1" name="max_min"/>
  </pivotTables>
  <data>
    <tabular pivotCacheId="2129220241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torizado" xr10:uid="{62D290D5-D047-48AC-B362-2F37BA4FD3F2}" sourceName="Motorizado">
  <pivotTables>
    <pivotTable tabId="1" name="imagenes"/>
    <pivotTable tabId="1" name="cant_entregas"/>
    <pivotTable tabId="1" name="total_cobro"/>
    <pivotTable tabId="1" name="max_min"/>
  </pivotTables>
  <data>
    <tabular pivotCacheId="2129220241">
      <items count="5">
        <i x="2" s="1"/>
        <i x="1"/>
        <i x="4"/>
        <i x="3"/>
        <i x="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99FE051C-5FFA-44CB-B95C-7A79FE5D4EBE}" sourceName="Mes">
  <pivotTables>
    <pivotTable tabId="1" name="general1"/>
    <pivotTable tabId="1" name="general2"/>
    <pivotTable tabId="1" name="barras"/>
    <pivotTable tabId="1" name="embudo"/>
    <pivotTable tabId="1" name="cant_entregas"/>
    <pivotTable tabId="1" name="total_cobro"/>
    <pivotTable tabId="1" name="max_min"/>
  </pivotTables>
  <data>
    <tabular pivotCacheId="2129220241">
      <items count="3">
        <i x="2" s="1"/>
        <i x="1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ia" xr10:uid="{D72F3582-145D-4028-9FA7-64176139F00F}" cache="SegmentaciónDeDatos_Dia" caption="Dia" columnCount="3" style="SlicerStyleLight2" rowHeight="247650"/>
  <slicer name="Motorizado" xr10:uid="{30B3837C-355F-4EEE-A2D3-16039B06BF4B}" cache="SegmentaciónDeDatos_Motorizado" caption="Motorizado" style="SlicerStyleLight2" rowHeight="247650"/>
  <slicer name="Mes" xr10:uid="{337CBB0E-F0AF-4E85-9A5E-4ADB8B53BD5B}" cache="SegmentaciónDeDatos_Mes" caption="Mes" columnCount="3" style="SlicerStyleLight2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896CB7-AFAD-40B4-B5E8-D1F24733152B}" name="datos" displayName="datos" ref="B2:H89" totalsRowShown="0" dataDxfId="9">
  <autoFilter ref="B2:H89" xr:uid="{E62776EE-8957-4A73-B632-472D7528815E}"/>
  <tableColumns count="7">
    <tableColumn id="2" xr3:uid="{808A01EA-0263-4DEB-9154-9674CB7626B5}" name="Mes" dataDxfId="8">
      <calculatedColumnFormula>TEXT(datos[[#This Row],[Fecha]],"mmmm")</calculatedColumnFormula>
    </tableColumn>
    <tableColumn id="1" xr3:uid="{8EFD7467-3E6B-4C75-90E5-80D117744FA4}" name="Fecha" dataDxfId="7"/>
    <tableColumn id="6" xr3:uid="{2A0016AE-CD19-479A-9D71-13B8A095283F}" name="Dia" dataDxfId="6">
      <calculatedColumnFormula>TEXT(datos[[#This Row],[Fecha]],"dd")</calculatedColumnFormula>
    </tableColumn>
    <tableColumn id="7" xr3:uid="{35689652-0C6F-4D8A-9B17-9320C423CAC4}" name="Motorizado" dataDxfId="5"/>
    <tableColumn id="3" xr3:uid="{15A48912-9BFA-4825-A64B-0FB55B76B512}" name="Entrega Nº" dataDxfId="4"/>
    <tableColumn id="5" xr3:uid="{77B06954-1764-4549-9A9D-D23375815D2C}" name="Producto" dataDxfId="3"/>
    <tableColumn id="4" xr3:uid="{97056639-F3BE-4B28-A48C-FA62EB4BD7D2}" name="Total Cobro" dataDxfId="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9CCB46-63C1-43B6-9DEF-BE83BAECFC3C}" name="moto" displayName="moto" ref="C3:C8" totalsRowShown="0" headerRowDxfId="1">
  <autoFilter ref="C3:C8" xr:uid="{109CCB46-63C1-43B6-9DEF-BE83BAECFC3C}"/>
  <tableColumns count="1">
    <tableColumn id="1" xr3:uid="{E17DA2E4-FCC3-410D-8346-1AB45054C3C6}" name="Motoriz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9830DC-0F02-4748-84C5-88C735E5F203}" name="Entregas_" displayName="Entregas_" ref="E3:E13" totalsRowShown="0" headerRowDxfId="0">
  <autoFilter ref="E3:E13" xr:uid="{F59830DC-0F02-4748-84C5-88C735E5F203}"/>
  <tableColumns count="1">
    <tableColumn id="1" xr3:uid="{1C26A9BC-6BF3-4334-9795-FDCF0BECE225}" name="Entreg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E64E82-F2A5-4EE8-A903-6AD957B8C03D}" name="PRODUCTOS_" displayName="PRODUCTOS_" ref="G3:G10" totalsRowShown="0">
  <autoFilter ref="G3:G10" xr:uid="{13E64E82-F2A5-4EE8-A903-6AD957B8C03D}"/>
  <tableColumns count="1">
    <tableColumn id="1" xr3:uid="{03146A25-2482-43D9-9344-B2233418C289}" name="Produ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4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2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1717-EEBE-4759-A701-7F1B72E6F3B3}">
  <sheetPr codeName="Hoja3"/>
  <dimension ref="B3:K15"/>
  <sheetViews>
    <sheetView tabSelected="1" zoomScaleNormal="100" workbookViewId="0">
      <selection activeCell="K8" sqref="K8"/>
    </sheetView>
  </sheetViews>
  <sheetFormatPr baseColWidth="10" defaultRowHeight="17.399999999999999" x14ac:dyDescent="0.3"/>
  <cols>
    <col min="1" max="3" width="11.5546875" style="1"/>
    <col min="4" max="4" width="23.21875" style="1" customWidth="1"/>
    <col min="5" max="5" width="23.109375" style="1" customWidth="1"/>
    <col min="6" max="6" width="24.44140625" style="1" customWidth="1"/>
    <col min="7" max="7" width="23" style="1" customWidth="1"/>
    <col min="8" max="8" width="24.6640625" style="1" customWidth="1"/>
    <col min="9" max="16384" width="11.5546875" style="1"/>
  </cols>
  <sheetData>
    <row r="3" spans="2:11" x14ac:dyDescent="0.3">
      <c r="E3"/>
      <c r="H3"/>
    </row>
    <row r="6" spans="2:11" ht="40.049999999999997" customHeight="1" x14ac:dyDescent="0.3">
      <c r="B6" s="2"/>
      <c r="C6" s="2"/>
      <c r="I6" s="2"/>
      <c r="J6" s="2"/>
      <c r="K6" s="2"/>
    </row>
    <row r="7" spans="2:11" ht="40.049999999999997" customHeight="1" thickBot="1" x14ac:dyDescent="0.35">
      <c r="B7" s="2"/>
      <c r="C7" s="26"/>
      <c r="D7" s="26"/>
      <c r="E7" s="27"/>
      <c r="F7" s="26"/>
      <c r="G7" s="26"/>
      <c r="H7" s="27"/>
      <c r="I7" s="26"/>
      <c r="J7" s="2"/>
      <c r="K7" s="2"/>
    </row>
    <row r="8" spans="2:11" ht="40.049999999999997" customHeight="1" thickBot="1" x14ac:dyDescent="0.35">
      <c r="B8" s="2"/>
      <c r="C8" s="26"/>
      <c r="D8" s="5" t="s">
        <v>12</v>
      </c>
      <c r="E8" s="4"/>
      <c r="F8" s="26"/>
      <c r="G8" s="5" t="s">
        <v>5</v>
      </c>
      <c r="H8" s="5"/>
      <c r="I8" s="26"/>
      <c r="J8" s="2"/>
      <c r="K8" s="2"/>
    </row>
    <row r="9" spans="2:11" ht="40.049999999999997" customHeight="1" thickBot="1" x14ac:dyDescent="0.35">
      <c r="B9" s="2"/>
      <c r="C9" s="26"/>
      <c r="D9" s="26"/>
      <c r="E9" s="27"/>
      <c r="F9" s="26"/>
      <c r="G9" s="26"/>
      <c r="H9" s="27"/>
      <c r="I9" s="26"/>
      <c r="J9" s="2"/>
    </row>
    <row r="10" spans="2:11" ht="40.049999999999997" customHeight="1" thickBot="1" x14ac:dyDescent="0.35">
      <c r="B10" s="2"/>
      <c r="C10" s="26"/>
      <c r="D10" s="5" t="s">
        <v>36</v>
      </c>
      <c r="E10" s="5"/>
      <c r="F10" s="27"/>
      <c r="G10" s="3" t="s">
        <v>48</v>
      </c>
      <c r="H10" s="6"/>
      <c r="I10" s="26"/>
      <c r="J10" s="2"/>
      <c r="K10" s="2"/>
    </row>
    <row r="11" spans="2:11" ht="40.049999999999997" customHeight="1" thickBot="1" x14ac:dyDescent="0.35">
      <c r="B11" s="2"/>
      <c r="C11" s="26"/>
      <c r="D11" s="26"/>
      <c r="E11" s="27"/>
      <c r="F11" s="26"/>
      <c r="G11" s="26"/>
      <c r="H11" s="27"/>
      <c r="I11" s="26"/>
    </row>
    <row r="12" spans="2:11" ht="40.049999999999997" customHeight="1" thickBot="1" x14ac:dyDescent="0.35">
      <c r="B12" s="2"/>
      <c r="C12" s="26"/>
      <c r="D12" s="3" t="s">
        <v>34</v>
      </c>
      <c r="E12" s="6"/>
      <c r="F12" s="27"/>
      <c r="G12" s="27"/>
      <c r="H12" s="26"/>
      <c r="I12" s="26"/>
    </row>
    <row r="13" spans="2:11" ht="40.049999999999997" customHeight="1" x14ac:dyDescent="0.3">
      <c r="B13" s="2"/>
      <c r="C13" s="26"/>
      <c r="D13" s="26"/>
      <c r="E13" s="27"/>
      <c r="F13" s="26"/>
      <c r="G13" s="26"/>
      <c r="H13" s="27"/>
      <c r="I13" s="26"/>
      <c r="J13" s="2"/>
      <c r="K13" s="2"/>
    </row>
    <row r="14" spans="2:11" x14ac:dyDescent="0.3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3">
      <c r="B15" s="2"/>
      <c r="C15" s="2"/>
      <c r="D15" s="2"/>
      <c r="E15" s="2"/>
      <c r="F15" s="2"/>
      <c r="G15" s="2"/>
      <c r="H15" s="2"/>
      <c r="I15" s="2"/>
      <c r="J15" s="2"/>
      <c r="K15" s="2"/>
    </row>
  </sheetData>
  <dataValidations count="3">
    <dataValidation type="list" allowBlank="1" showInputMessage="1" showErrorMessage="1" sqref="H8" xr:uid="{565B5672-6882-48D2-BEFD-679CE48331E8}">
      <formula1>motorizado</formula1>
    </dataValidation>
    <dataValidation type="list" allowBlank="1" showInputMessage="1" showErrorMessage="1" sqref="E10" xr:uid="{DA78AA46-1E3C-4131-B249-3BC240D496EA}">
      <formula1>entregas</formula1>
    </dataValidation>
    <dataValidation type="list" allowBlank="1" showInputMessage="1" showErrorMessage="1" sqref="E12" xr:uid="{49098D25-6C04-4E83-B7A9-1B967D42B23D}">
      <formula1>productos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3A8A6-B2F5-465A-AB67-D4D35817EE73}">
  <sheetPr codeName="Hoja2"/>
  <dimension ref="B1:H89"/>
  <sheetViews>
    <sheetView zoomScale="145" zoomScaleNormal="145" workbookViewId="0">
      <selection activeCell="B3" sqref="B3"/>
    </sheetView>
  </sheetViews>
  <sheetFormatPr baseColWidth="10" defaultRowHeight="14.4" x14ac:dyDescent="0.3"/>
  <cols>
    <col min="2" max="2" width="11.88671875" customWidth="1"/>
    <col min="5" max="5" width="13.5546875" style="10" bestFit="1" customWidth="1"/>
    <col min="6" max="6" width="15.109375" style="12" bestFit="1" customWidth="1"/>
    <col min="7" max="7" width="12.6640625" bestFit="1" customWidth="1"/>
    <col min="8" max="8" width="12.44140625" bestFit="1" customWidth="1"/>
  </cols>
  <sheetData>
    <row r="1" spans="2:8" x14ac:dyDescent="0.3">
      <c r="E1"/>
    </row>
    <row r="2" spans="2:8" x14ac:dyDescent="0.3">
      <c r="B2" t="s">
        <v>0</v>
      </c>
      <c r="C2" t="s">
        <v>1</v>
      </c>
      <c r="D2" t="s">
        <v>2</v>
      </c>
      <c r="E2" t="s">
        <v>5</v>
      </c>
      <c r="F2" s="12" t="s">
        <v>36</v>
      </c>
      <c r="G2" t="s">
        <v>49</v>
      </c>
      <c r="H2" t="s">
        <v>11</v>
      </c>
    </row>
    <row r="3" spans="2:8" x14ac:dyDescent="0.3">
      <c r="B3" s="7" t="str">
        <f>TEXT(datos[[#This Row],[Fecha]],"mmmm")</f>
        <v>Marzo</v>
      </c>
      <c r="C3" s="8">
        <v>45719</v>
      </c>
      <c r="D3" s="8" t="str">
        <f>TEXT(datos[[#This Row],[Fecha]],"dd")</f>
        <v>03</v>
      </c>
      <c r="E3" s="7" t="s">
        <v>9</v>
      </c>
      <c r="F3" s="13">
        <v>1</v>
      </c>
      <c r="G3" s="9" t="s">
        <v>50</v>
      </c>
      <c r="H3" s="7">
        <v>18</v>
      </c>
    </row>
    <row r="4" spans="2:8" x14ac:dyDescent="0.3">
      <c r="B4" s="7" t="str">
        <f>TEXT(datos[[#This Row],[Fecha]],"mmmm")</f>
        <v>Marzo</v>
      </c>
      <c r="C4" s="8">
        <v>45719</v>
      </c>
      <c r="D4" s="8" t="str">
        <f>TEXT(datos[[#This Row],[Fecha]],"dd")</f>
        <v>03</v>
      </c>
      <c r="E4" s="7" t="s">
        <v>8</v>
      </c>
      <c r="F4" s="13">
        <v>3</v>
      </c>
      <c r="G4" s="9" t="s">
        <v>58</v>
      </c>
      <c r="H4" s="7">
        <v>21</v>
      </c>
    </row>
    <row r="5" spans="2:8" x14ac:dyDescent="0.3">
      <c r="B5" s="7" t="str">
        <f>TEXT(datos[[#This Row],[Fecha]],"mmmm")</f>
        <v>Marzo</v>
      </c>
      <c r="C5" s="8">
        <v>45719</v>
      </c>
      <c r="D5" s="8" t="str">
        <f>TEXT(datos[[#This Row],[Fecha]],"dd")</f>
        <v>03</v>
      </c>
      <c r="E5" s="7" t="s">
        <v>8</v>
      </c>
      <c r="F5" s="13">
        <v>2</v>
      </c>
      <c r="G5" s="9" t="s">
        <v>51</v>
      </c>
      <c r="H5" s="7">
        <v>27</v>
      </c>
    </row>
    <row r="6" spans="2:8" x14ac:dyDescent="0.3">
      <c r="B6" s="7" t="str">
        <f>TEXT(datos[[#This Row],[Fecha]],"mmmm")</f>
        <v>Marzo</v>
      </c>
      <c r="C6" s="8">
        <v>45719</v>
      </c>
      <c r="D6" s="8" t="str">
        <f>TEXT(datos[[#This Row],[Fecha]],"dd")</f>
        <v>03</v>
      </c>
      <c r="E6" s="7" t="s">
        <v>8</v>
      </c>
      <c r="F6" s="13">
        <v>1</v>
      </c>
      <c r="G6" s="9" t="s">
        <v>50</v>
      </c>
      <c r="H6" s="7">
        <v>33</v>
      </c>
    </row>
    <row r="7" spans="2:8" x14ac:dyDescent="0.3">
      <c r="B7" s="7" t="str">
        <f>TEXT(datos[[#This Row],[Fecha]],"mmmm")</f>
        <v>Marzo</v>
      </c>
      <c r="C7" s="8">
        <v>45719</v>
      </c>
      <c r="D7" s="8" t="str">
        <f>TEXT(datos[[#This Row],[Fecha]],"dd")</f>
        <v>03</v>
      </c>
      <c r="E7" s="7" t="s">
        <v>7</v>
      </c>
      <c r="F7" s="13">
        <v>2</v>
      </c>
      <c r="G7" s="9" t="s">
        <v>56</v>
      </c>
      <c r="H7" s="7">
        <v>25</v>
      </c>
    </row>
    <row r="8" spans="2:8" x14ac:dyDescent="0.3">
      <c r="B8" s="7" t="str">
        <f>TEXT(datos[[#This Row],[Fecha]],"mmmm")</f>
        <v>Marzo</v>
      </c>
      <c r="C8" s="8">
        <v>45719</v>
      </c>
      <c r="D8" s="8" t="str">
        <f>TEXT(datos[[#This Row],[Fecha]],"dd")</f>
        <v>03</v>
      </c>
      <c r="E8" s="7" t="s">
        <v>7</v>
      </c>
      <c r="F8" s="13">
        <v>1</v>
      </c>
      <c r="G8" s="9" t="s">
        <v>57</v>
      </c>
      <c r="H8" s="7">
        <v>15</v>
      </c>
    </row>
    <row r="9" spans="2:8" x14ac:dyDescent="0.3">
      <c r="B9" s="7" t="str">
        <f>TEXT(datos[[#This Row],[Fecha]],"mmmm")</f>
        <v>Marzo</v>
      </c>
      <c r="C9" s="8">
        <v>45719</v>
      </c>
      <c r="D9" s="8" t="str">
        <f>TEXT(datos[[#This Row],[Fecha]],"dd")</f>
        <v>03</v>
      </c>
      <c r="E9" s="7" t="s">
        <v>6</v>
      </c>
      <c r="F9" s="13">
        <v>3</v>
      </c>
      <c r="G9" s="9" t="s">
        <v>57</v>
      </c>
      <c r="H9" s="7">
        <v>15</v>
      </c>
    </row>
    <row r="10" spans="2:8" x14ac:dyDescent="0.3">
      <c r="B10" s="7" t="str">
        <f>TEXT(datos[[#This Row],[Fecha]],"mmmm")</f>
        <v>Marzo</v>
      </c>
      <c r="C10" s="8">
        <v>45719</v>
      </c>
      <c r="D10" s="8" t="str">
        <f>TEXT(datos[[#This Row],[Fecha]],"dd")</f>
        <v>03</v>
      </c>
      <c r="E10" s="7" t="s">
        <v>6</v>
      </c>
      <c r="F10" s="13">
        <v>2</v>
      </c>
      <c r="G10" s="9" t="s">
        <v>50</v>
      </c>
      <c r="H10" s="7">
        <v>15</v>
      </c>
    </row>
    <row r="11" spans="2:8" x14ac:dyDescent="0.3">
      <c r="B11" s="7" t="str">
        <f>TEXT(datos[[#This Row],[Fecha]],"mmmm")</f>
        <v>Marzo</v>
      </c>
      <c r="C11" s="8">
        <v>45719</v>
      </c>
      <c r="D11" s="8" t="str">
        <f>TEXT(datos[[#This Row],[Fecha]],"dd")</f>
        <v>03</v>
      </c>
      <c r="E11" s="7" t="s">
        <v>6</v>
      </c>
      <c r="F11" s="13">
        <v>1</v>
      </c>
      <c r="G11" s="9" t="s">
        <v>53</v>
      </c>
      <c r="H11" s="7">
        <v>14</v>
      </c>
    </row>
    <row r="12" spans="2:8" x14ac:dyDescent="0.3">
      <c r="B12" s="7" t="str">
        <f>TEXT(datos[[#This Row],[Fecha]],"mmmm")</f>
        <v>Marzo</v>
      </c>
      <c r="C12" s="8">
        <v>45717</v>
      </c>
      <c r="D12" s="8" t="str">
        <f>TEXT(datos[[#This Row],[Fecha]],"dd")</f>
        <v>01</v>
      </c>
      <c r="E12" s="7" t="s">
        <v>3</v>
      </c>
      <c r="F12" s="13">
        <v>1</v>
      </c>
      <c r="G12" s="9" t="s">
        <v>53</v>
      </c>
      <c r="H12" s="7">
        <v>14</v>
      </c>
    </row>
    <row r="13" spans="2:8" x14ac:dyDescent="0.3">
      <c r="B13" s="7" t="str">
        <f>TEXT(datos[[#This Row],[Fecha]],"mmmm")</f>
        <v>Marzo</v>
      </c>
      <c r="C13" s="8">
        <v>45717</v>
      </c>
      <c r="D13" s="8" t="str">
        <f>TEXT(datos[[#This Row],[Fecha]],"dd")</f>
        <v>01</v>
      </c>
      <c r="E13" s="7" t="s">
        <v>9</v>
      </c>
      <c r="F13" s="13">
        <v>1</v>
      </c>
      <c r="G13" s="9" t="s">
        <v>53</v>
      </c>
      <c r="H13" s="7">
        <v>12</v>
      </c>
    </row>
    <row r="14" spans="2:8" x14ac:dyDescent="0.3">
      <c r="B14" s="7" t="str">
        <f>TEXT(datos[[#This Row],[Fecha]],"mmmm")</f>
        <v>Marzo</v>
      </c>
      <c r="C14" s="8">
        <v>45717</v>
      </c>
      <c r="D14" s="8" t="str">
        <f>TEXT(datos[[#This Row],[Fecha]],"dd")</f>
        <v>01</v>
      </c>
      <c r="E14" s="7" t="s">
        <v>8</v>
      </c>
      <c r="F14" s="13">
        <v>2</v>
      </c>
      <c r="G14" s="9" t="s">
        <v>50</v>
      </c>
      <c r="H14" s="7">
        <v>24</v>
      </c>
    </row>
    <row r="15" spans="2:8" x14ac:dyDescent="0.3">
      <c r="B15" s="7" t="str">
        <f>TEXT(datos[[#This Row],[Fecha]],"mmmm")</f>
        <v>Marzo</v>
      </c>
      <c r="C15" s="8">
        <v>45717</v>
      </c>
      <c r="D15" s="8" t="str">
        <f>TEXT(datos[[#This Row],[Fecha]],"dd")</f>
        <v>01</v>
      </c>
      <c r="E15" s="7" t="s">
        <v>8</v>
      </c>
      <c r="F15" s="13">
        <v>1</v>
      </c>
      <c r="G15" s="9" t="s">
        <v>58</v>
      </c>
      <c r="H15" s="7">
        <v>30</v>
      </c>
    </row>
    <row r="16" spans="2:8" x14ac:dyDescent="0.3">
      <c r="B16" s="7" t="str">
        <f>TEXT(datos[[#This Row],[Fecha]],"mmmm")</f>
        <v>Marzo</v>
      </c>
      <c r="C16" s="8">
        <v>45717</v>
      </c>
      <c r="D16" s="8" t="str">
        <f>TEXT(datos[[#This Row],[Fecha]],"dd")</f>
        <v>01</v>
      </c>
      <c r="E16" s="7" t="s">
        <v>7</v>
      </c>
      <c r="F16" s="13">
        <v>2</v>
      </c>
      <c r="G16" s="9" t="s">
        <v>52</v>
      </c>
      <c r="H16" s="7">
        <v>30</v>
      </c>
    </row>
    <row r="17" spans="2:8" x14ac:dyDescent="0.3">
      <c r="B17" s="7" t="str">
        <f>TEXT(datos[[#This Row],[Fecha]],"mmmm")</f>
        <v>Marzo</v>
      </c>
      <c r="C17" s="8">
        <v>45717</v>
      </c>
      <c r="D17" s="8" t="str">
        <f>TEXT(datos[[#This Row],[Fecha]],"dd")</f>
        <v>01</v>
      </c>
      <c r="E17" s="7" t="s">
        <v>7</v>
      </c>
      <c r="F17" s="13">
        <v>1</v>
      </c>
      <c r="G17" s="9" t="s">
        <v>50</v>
      </c>
      <c r="H17" s="7">
        <v>26</v>
      </c>
    </row>
    <row r="18" spans="2:8" x14ac:dyDescent="0.3">
      <c r="B18" s="7" t="str">
        <f>TEXT(datos[[#This Row],[Fecha]],"mmmm")</f>
        <v>Marzo</v>
      </c>
      <c r="C18" s="8">
        <v>45717</v>
      </c>
      <c r="D18" s="8" t="str">
        <f>TEXT(datos[[#This Row],[Fecha]],"dd")</f>
        <v>01</v>
      </c>
      <c r="E18" s="7" t="s">
        <v>6</v>
      </c>
      <c r="F18" s="13">
        <v>2</v>
      </c>
      <c r="G18" s="9" t="s">
        <v>53</v>
      </c>
      <c r="H18" s="7">
        <v>22</v>
      </c>
    </row>
    <row r="19" spans="2:8" x14ac:dyDescent="0.3">
      <c r="B19" s="7" t="str">
        <f>TEXT(datos[[#This Row],[Fecha]],"mmmm")</f>
        <v>Marzo</v>
      </c>
      <c r="C19" s="8">
        <v>45717</v>
      </c>
      <c r="D19" s="8" t="str">
        <f>TEXT(datos[[#This Row],[Fecha]],"dd")</f>
        <v>01</v>
      </c>
      <c r="E19" s="7" t="s">
        <v>6</v>
      </c>
      <c r="F19" s="13">
        <v>1</v>
      </c>
      <c r="G19" s="9" t="s">
        <v>52</v>
      </c>
      <c r="H19" s="7">
        <v>25</v>
      </c>
    </row>
    <row r="20" spans="2:8" x14ac:dyDescent="0.3">
      <c r="B20" s="7" t="str">
        <f>TEXT(datos[[#This Row],[Fecha]],"mmmm")</f>
        <v>Febrero</v>
      </c>
      <c r="C20" s="8">
        <v>45691</v>
      </c>
      <c r="D20" s="8" t="str">
        <f>TEXT(datos[[#This Row],[Fecha]],"dd")</f>
        <v>03</v>
      </c>
      <c r="E20" s="7" t="s">
        <v>3</v>
      </c>
      <c r="F20" s="13">
        <v>2</v>
      </c>
      <c r="G20" s="9" t="s">
        <v>50</v>
      </c>
      <c r="H20" s="7">
        <v>25</v>
      </c>
    </row>
    <row r="21" spans="2:8" x14ac:dyDescent="0.3">
      <c r="B21" s="7" t="str">
        <f>TEXT(datos[[#This Row],[Fecha]],"mmmm")</f>
        <v>Febrero</v>
      </c>
      <c r="C21" s="8">
        <v>45691</v>
      </c>
      <c r="D21" s="8" t="str">
        <f>TEXT(datos[[#This Row],[Fecha]],"dd")</f>
        <v>03</v>
      </c>
      <c r="E21" s="7" t="s">
        <v>3</v>
      </c>
      <c r="F21" s="13">
        <v>1</v>
      </c>
      <c r="G21" s="9" t="s">
        <v>53</v>
      </c>
      <c r="H21" s="7">
        <v>14</v>
      </c>
    </row>
    <row r="22" spans="2:8" x14ac:dyDescent="0.3">
      <c r="B22" s="7" t="str">
        <f>TEXT(datos[[#This Row],[Fecha]],"mmmm")</f>
        <v>Febrero</v>
      </c>
      <c r="C22" s="8">
        <v>45691</v>
      </c>
      <c r="D22" s="8" t="str">
        <f>TEXT(datos[[#This Row],[Fecha]],"dd")</f>
        <v>03</v>
      </c>
      <c r="E22" s="7" t="s">
        <v>9</v>
      </c>
      <c r="F22" s="13">
        <v>1</v>
      </c>
      <c r="G22" s="9" t="s">
        <v>56</v>
      </c>
      <c r="H22" s="7">
        <v>11</v>
      </c>
    </row>
    <row r="23" spans="2:8" x14ac:dyDescent="0.3">
      <c r="B23" s="7" t="str">
        <f>TEXT(datos[[#This Row],[Fecha]],"mmmm")</f>
        <v>Febrero</v>
      </c>
      <c r="C23" s="8">
        <v>45691</v>
      </c>
      <c r="D23" s="8" t="str">
        <f>TEXT(datos[[#This Row],[Fecha]],"dd")</f>
        <v>03</v>
      </c>
      <c r="E23" s="7" t="s">
        <v>8</v>
      </c>
      <c r="F23" s="13">
        <v>3</v>
      </c>
      <c r="G23" s="9" t="s">
        <v>50</v>
      </c>
      <c r="H23" s="7">
        <v>25</v>
      </c>
    </row>
    <row r="24" spans="2:8" x14ac:dyDescent="0.3">
      <c r="B24" s="7" t="str">
        <f>TEXT(datos[[#This Row],[Fecha]],"mmmm")</f>
        <v>Febrero</v>
      </c>
      <c r="C24" s="8">
        <v>45691</v>
      </c>
      <c r="D24" s="8" t="str">
        <f>TEXT(datos[[#This Row],[Fecha]],"dd")</f>
        <v>03</v>
      </c>
      <c r="E24" s="7" t="s">
        <v>8</v>
      </c>
      <c r="F24" s="13">
        <v>2</v>
      </c>
      <c r="G24" s="9" t="s">
        <v>52</v>
      </c>
      <c r="H24" s="7">
        <v>14</v>
      </c>
    </row>
    <row r="25" spans="2:8" x14ac:dyDescent="0.3">
      <c r="B25" s="7" t="str">
        <f>TEXT(datos[[#This Row],[Fecha]],"mmmm")</f>
        <v>Febrero</v>
      </c>
      <c r="C25" s="8">
        <v>45691</v>
      </c>
      <c r="D25" s="8" t="str">
        <f>TEXT(datos[[#This Row],[Fecha]],"dd")</f>
        <v>03</v>
      </c>
      <c r="E25" s="7" t="s">
        <v>8</v>
      </c>
      <c r="F25" s="13">
        <v>1</v>
      </c>
      <c r="G25" s="9" t="s">
        <v>53</v>
      </c>
      <c r="H25" s="7">
        <v>14</v>
      </c>
    </row>
    <row r="26" spans="2:8" x14ac:dyDescent="0.3">
      <c r="B26" s="7" t="str">
        <f>TEXT(datos[[#This Row],[Fecha]],"mmmm")</f>
        <v>Febrero</v>
      </c>
      <c r="C26" s="8">
        <v>45691</v>
      </c>
      <c r="D26" s="8" t="str">
        <f>TEXT(datos[[#This Row],[Fecha]],"dd")</f>
        <v>03</v>
      </c>
      <c r="E26" s="7" t="s">
        <v>7</v>
      </c>
      <c r="F26" s="13">
        <v>1</v>
      </c>
      <c r="G26" s="9" t="s">
        <v>57</v>
      </c>
      <c r="H26" s="7">
        <v>11</v>
      </c>
    </row>
    <row r="27" spans="2:8" x14ac:dyDescent="0.3">
      <c r="B27" s="7" t="str">
        <f>TEXT(datos[[#This Row],[Fecha]],"mmmm")</f>
        <v>Febrero</v>
      </c>
      <c r="C27" s="8">
        <v>45691</v>
      </c>
      <c r="D27" s="8" t="str">
        <f>TEXT(datos[[#This Row],[Fecha]],"dd")</f>
        <v>03</v>
      </c>
      <c r="E27" s="7" t="s">
        <v>6</v>
      </c>
      <c r="F27" s="13">
        <v>2</v>
      </c>
      <c r="G27" s="9" t="s">
        <v>52</v>
      </c>
      <c r="H27" s="7">
        <v>14</v>
      </c>
    </row>
    <row r="28" spans="2:8" x14ac:dyDescent="0.3">
      <c r="B28" s="7" t="str">
        <f>TEXT(datos[[#This Row],[Fecha]],"mmmm")</f>
        <v>Febrero</v>
      </c>
      <c r="C28" s="8">
        <v>45691</v>
      </c>
      <c r="D28" s="8" t="str">
        <f>TEXT(datos[[#This Row],[Fecha]],"dd")</f>
        <v>03</v>
      </c>
      <c r="E28" s="7" t="s">
        <v>6</v>
      </c>
      <c r="F28" s="13">
        <v>1</v>
      </c>
      <c r="G28" s="9" t="s">
        <v>51</v>
      </c>
      <c r="H28" s="7">
        <v>22</v>
      </c>
    </row>
    <row r="29" spans="2:8" x14ac:dyDescent="0.3">
      <c r="B29" s="7" t="str">
        <f>TEXT(datos[[#This Row],[Fecha]],"mmmm")</f>
        <v>Marzo</v>
      </c>
      <c r="C29" s="8">
        <v>45718</v>
      </c>
      <c r="D29" s="8" t="str">
        <f>TEXT(datos[[#This Row],[Fecha]],"dd")</f>
        <v>02</v>
      </c>
      <c r="E29" s="7" t="s">
        <v>3</v>
      </c>
      <c r="F29" s="13">
        <v>1</v>
      </c>
      <c r="G29" s="9" t="s">
        <v>51</v>
      </c>
      <c r="H29" s="7">
        <v>22</v>
      </c>
    </row>
    <row r="30" spans="2:8" x14ac:dyDescent="0.3">
      <c r="B30" s="7" t="str">
        <f>TEXT(datos[[#This Row],[Fecha]],"mmmm")</f>
        <v>Marzo</v>
      </c>
      <c r="C30" s="8">
        <v>45718</v>
      </c>
      <c r="D30" s="8" t="str">
        <f>TEXT(datos[[#This Row],[Fecha]],"dd")</f>
        <v>02</v>
      </c>
      <c r="E30" s="7" t="s">
        <v>9</v>
      </c>
      <c r="F30" s="13">
        <v>2</v>
      </c>
      <c r="G30" s="9" t="s">
        <v>56</v>
      </c>
      <c r="H30" s="7">
        <v>15</v>
      </c>
    </row>
    <row r="31" spans="2:8" x14ac:dyDescent="0.3">
      <c r="B31" s="7" t="str">
        <f>TEXT(datos[[#This Row],[Fecha]],"mmmm")</f>
        <v>Marzo</v>
      </c>
      <c r="C31" s="8">
        <v>45718</v>
      </c>
      <c r="D31" s="8" t="str">
        <f>TEXT(datos[[#This Row],[Fecha]],"dd")</f>
        <v>02</v>
      </c>
      <c r="E31" s="7" t="s">
        <v>9</v>
      </c>
      <c r="F31" s="13">
        <v>1</v>
      </c>
      <c r="G31" s="9" t="s">
        <v>53</v>
      </c>
      <c r="H31" s="7">
        <v>11</v>
      </c>
    </row>
    <row r="32" spans="2:8" x14ac:dyDescent="0.3">
      <c r="B32" s="7" t="str">
        <f>TEXT(datos[[#This Row],[Fecha]],"mmmm")</f>
        <v>Marzo</v>
      </c>
      <c r="C32" s="8">
        <v>45718</v>
      </c>
      <c r="D32" s="8" t="str">
        <f>TEXT(datos[[#This Row],[Fecha]],"dd")</f>
        <v>02</v>
      </c>
      <c r="E32" s="7" t="s">
        <v>8</v>
      </c>
      <c r="F32" s="13">
        <v>2</v>
      </c>
      <c r="G32" s="9" t="s">
        <v>52</v>
      </c>
      <c r="H32" s="7">
        <v>17</v>
      </c>
    </row>
    <row r="33" spans="2:8" x14ac:dyDescent="0.3">
      <c r="B33" s="7" t="str">
        <f>TEXT(datos[[#This Row],[Fecha]],"mmmm")</f>
        <v>Marzo</v>
      </c>
      <c r="C33" s="8">
        <v>45718</v>
      </c>
      <c r="D33" s="8" t="str">
        <f>TEXT(datos[[#This Row],[Fecha]],"dd")</f>
        <v>02</v>
      </c>
      <c r="E33" s="7" t="s">
        <v>8</v>
      </c>
      <c r="F33" s="13">
        <v>1</v>
      </c>
      <c r="G33" s="9" t="s">
        <v>52</v>
      </c>
      <c r="H33" s="7">
        <v>22</v>
      </c>
    </row>
    <row r="34" spans="2:8" x14ac:dyDescent="0.3">
      <c r="B34" s="7" t="str">
        <f>TEXT(datos[[#This Row],[Fecha]],"mmmm")</f>
        <v>Marzo</v>
      </c>
      <c r="C34" s="8">
        <v>45718</v>
      </c>
      <c r="D34" s="8" t="str">
        <f>TEXT(datos[[#This Row],[Fecha]],"dd")</f>
        <v>02</v>
      </c>
      <c r="E34" s="7" t="s">
        <v>7</v>
      </c>
      <c r="F34" s="13">
        <v>2</v>
      </c>
      <c r="G34" s="9" t="s">
        <v>51</v>
      </c>
      <c r="H34" s="7">
        <v>18</v>
      </c>
    </row>
    <row r="35" spans="2:8" x14ac:dyDescent="0.3">
      <c r="B35" s="7" t="str">
        <f>TEXT(datos[[#This Row],[Fecha]],"mmmm")</f>
        <v>Marzo</v>
      </c>
      <c r="C35" s="8">
        <v>45718</v>
      </c>
      <c r="D35" s="8" t="str">
        <f>TEXT(datos[[#This Row],[Fecha]],"dd")</f>
        <v>02</v>
      </c>
      <c r="E35" s="7" t="s">
        <v>7</v>
      </c>
      <c r="F35" s="13">
        <v>1</v>
      </c>
      <c r="G35" s="9" t="s">
        <v>50</v>
      </c>
      <c r="H35" s="7">
        <v>14</v>
      </c>
    </row>
    <row r="36" spans="2:8" x14ac:dyDescent="0.3">
      <c r="B36" s="7" t="str">
        <f>TEXT(datos[[#This Row],[Fecha]],"mmmm")</f>
        <v>Marzo</v>
      </c>
      <c r="C36" s="8">
        <v>45718</v>
      </c>
      <c r="D36" s="8" t="str">
        <f>TEXT(datos[[#This Row],[Fecha]],"dd")</f>
        <v>02</v>
      </c>
      <c r="E36" s="7" t="s">
        <v>6</v>
      </c>
      <c r="F36" s="13">
        <v>2</v>
      </c>
      <c r="G36" s="9" t="s">
        <v>58</v>
      </c>
      <c r="H36" s="7">
        <v>17</v>
      </c>
    </row>
    <row r="37" spans="2:8" x14ac:dyDescent="0.3">
      <c r="B37" s="7" t="str">
        <f>TEXT(datos[[#This Row],[Fecha]],"mmmm")</f>
        <v>Marzo</v>
      </c>
      <c r="C37" s="8">
        <v>45718</v>
      </c>
      <c r="D37" s="8" t="str">
        <f>TEXT(datos[[#This Row],[Fecha]],"dd")</f>
        <v>02</v>
      </c>
      <c r="E37" s="7" t="s">
        <v>6</v>
      </c>
      <c r="F37" s="13">
        <v>1</v>
      </c>
      <c r="G37" s="9" t="s">
        <v>58</v>
      </c>
      <c r="H37" s="7">
        <v>12</v>
      </c>
    </row>
    <row r="38" spans="2:8" x14ac:dyDescent="0.3">
      <c r="B38" s="7" t="str">
        <f>TEXT(datos[[#This Row],[Fecha]],"mmmm")</f>
        <v>Febrero</v>
      </c>
      <c r="C38" s="8">
        <v>45690</v>
      </c>
      <c r="D38" s="8" t="str">
        <f>TEXT(datos[[#This Row],[Fecha]],"dd")</f>
        <v>02</v>
      </c>
      <c r="E38" s="7" t="s">
        <v>3</v>
      </c>
      <c r="F38" s="13">
        <v>1</v>
      </c>
      <c r="G38" s="9" t="s">
        <v>56</v>
      </c>
      <c r="H38" s="7">
        <v>17</v>
      </c>
    </row>
    <row r="39" spans="2:8" x14ac:dyDescent="0.3">
      <c r="B39" s="7" t="str">
        <f>TEXT(datos[[#This Row],[Fecha]],"mmmm")</f>
        <v>Febrero</v>
      </c>
      <c r="C39" s="8">
        <v>45690</v>
      </c>
      <c r="D39" s="8" t="str">
        <f>TEXT(datos[[#This Row],[Fecha]],"dd")</f>
        <v>02</v>
      </c>
      <c r="E39" s="7" t="s">
        <v>9</v>
      </c>
      <c r="F39" s="13">
        <v>2</v>
      </c>
      <c r="G39" s="9" t="s">
        <v>53</v>
      </c>
      <c r="H39" s="7">
        <v>14</v>
      </c>
    </row>
    <row r="40" spans="2:8" x14ac:dyDescent="0.3">
      <c r="B40" s="7" t="str">
        <f>TEXT(datos[[#This Row],[Fecha]],"mmmm")</f>
        <v>Febrero</v>
      </c>
      <c r="C40" s="8">
        <v>45690</v>
      </c>
      <c r="D40" s="8" t="str">
        <f>TEXT(datos[[#This Row],[Fecha]],"dd")</f>
        <v>02</v>
      </c>
      <c r="E40" s="7" t="s">
        <v>9</v>
      </c>
      <c r="F40" s="13">
        <v>1</v>
      </c>
      <c r="G40" s="9" t="s">
        <v>50</v>
      </c>
      <c r="H40" s="7">
        <v>18</v>
      </c>
    </row>
    <row r="41" spans="2:8" x14ac:dyDescent="0.3">
      <c r="B41" s="7" t="str">
        <f>TEXT(datos[[#This Row],[Fecha]],"mmmm")</f>
        <v>Febrero</v>
      </c>
      <c r="C41" s="8">
        <v>45690</v>
      </c>
      <c r="D41" s="8" t="str">
        <f>TEXT(datos[[#This Row],[Fecha]],"dd")</f>
        <v>02</v>
      </c>
      <c r="E41" s="7" t="s">
        <v>8</v>
      </c>
      <c r="F41" s="13">
        <v>4</v>
      </c>
      <c r="G41" s="9" t="s">
        <v>50</v>
      </c>
      <c r="H41" s="7">
        <v>18</v>
      </c>
    </row>
    <row r="42" spans="2:8" x14ac:dyDescent="0.3">
      <c r="B42" s="7" t="str">
        <f>TEXT(datos[[#This Row],[Fecha]],"mmmm")</f>
        <v>Febrero</v>
      </c>
      <c r="C42" s="8">
        <v>45690</v>
      </c>
      <c r="D42" s="8" t="str">
        <f>TEXT(datos[[#This Row],[Fecha]],"dd")</f>
        <v>02</v>
      </c>
      <c r="E42" s="7" t="s">
        <v>8</v>
      </c>
      <c r="F42" s="13">
        <v>3</v>
      </c>
      <c r="G42" s="9" t="s">
        <v>51</v>
      </c>
      <c r="H42" s="7">
        <v>27</v>
      </c>
    </row>
    <row r="43" spans="2:8" x14ac:dyDescent="0.3">
      <c r="B43" s="7" t="str">
        <f>TEXT(datos[[#This Row],[Fecha]],"mmmm")</f>
        <v>Febrero</v>
      </c>
      <c r="C43" s="8">
        <v>45690</v>
      </c>
      <c r="D43" s="8" t="str">
        <f>TEXT(datos[[#This Row],[Fecha]],"dd")</f>
        <v>02</v>
      </c>
      <c r="E43" s="7" t="s">
        <v>8</v>
      </c>
      <c r="F43" s="13">
        <v>2</v>
      </c>
      <c r="G43" s="9" t="s">
        <v>50</v>
      </c>
      <c r="H43" s="7">
        <v>25</v>
      </c>
    </row>
    <row r="44" spans="2:8" x14ac:dyDescent="0.3">
      <c r="B44" s="7" t="str">
        <f>TEXT(datos[[#This Row],[Fecha]],"mmmm")</f>
        <v>Febrero</v>
      </c>
      <c r="C44" s="8">
        <v>45690</v>
      </c>
      <c r="D44" s="8" t="str">
        <f>TEXT(datos[[#This Row],[Fecha]],"dd")</f>
        <v>02</v>
      </c>
      <c r="E44" s="7" t="s">
        <v>8</v>
      </c>
      <c r="F44" s="13">
        <v>1</v>
      </c>
      <c r="G44" s="9" t="s">
        <v>53</v>
      </c>
      <c r="H44" s="7">
        <v>24</v>
      </c>
    </row>
    <row r="45" spans="2:8" x14ac:dyDescent="0.3">
      <c r="B45" s="7" t="str">
        <f>TEXT(datos[[#This Row],[Fecha]],"mmmm")</f>
        <v>Febrero</v>
      </c>
      <c r="C45" s="8">
        <v>45690</v>
      </c>
      <c r="D45" s="8" t="str">
        <f>TEXT(datos[[#This Row],[Fecha]],"dd")</f>
        <v>02</v>
      </c>
      <c r="E45" s="7" t="s">
        <v>7</v>
      </c>
      <c r="F45" s="13">
        <v>2</v>
      </c>
      <c r="G45" s="9" t="s">
        <v>53</v>
      </c>
      <c r="H45" s="7">
        <v>12</v>
      </c>
    </row>
    <row r="46" spans="2:8" x14ac:dyDescent="0.3">
      <c r="B46" s="7" t="str">
        <f>TEXT(datos[[#This Row],[Fecha]],"mmmm")</f>
        <v>Febrero</v>
      </c>
      <c r="C46" s="8">
        <v>45690</v>
      </c>
      <c r="D46" s="8" t="str">
        <f>TEXT(datos[[#This Row],[Fecha]],"dd")</f>
        <v>02</v>
      </c>
      <c r="E46" s="7" t="s">
        <v>7</v>
      </c>
      <c r="F46" s="13">
        <v>1</v>
      </c>
      <c r="G46" s="9" t="s">
        <v>50</v>
      </c>
      <c r="H46" s="7">
        <v>14</v>
      </c>
    </row>
    <row r="47" spans="2:8" x14ac:dyDescent="0.3">
      <c r="B47" s="7" t="str">
        <f>TEXT(datos[[#This Row],[Fecha]],"mmmm")</f>
        <v>Febrero</v>
      </c>
      <c r="C47" s="8">
        <v>45690</v>
      </c>
      <c r="D47" s="8" t="str">
        <f>TEXT(datos[[#This Row],[Fecha]],"dd")</f>
        <v>02</v>
      </c>
      <c r="E47" s="7" t="s">
        <v>6</v>
      </c>
      <c r="F47" s="13">
        <v>3</v>
      </c>
      <c r="G47" s="9" t="s">
        <v>50</v>
      </c>
      <c r="H47" s="7">
        <v>14</v>
      </c>
    </row>
    <row r="48" spans="2:8" x14ac:dyDescent="0.3">
      <c r="B48" s="7" t="str">
        <f>TEXT(datos[[#This Row],[Fecha]],"mmmm")</f>
        <v>Febrero</v>
      </c>
      <c r="C48" s="8">
        <v>45690</v>
      </c>
      <c r="D48" s="8" t="str">
        <f>TEXT(datos[[#This Row],[Fecha]],"dd")</f>
        <v>02</v>
      </c>
      <c r="E48" s="7" t="s">
        <v>6</v>
      </c>
      <c r="F48" s="13">
        <v>2</v>
      </c>
      <c r="G48" s="9" t="s">
        <v>57</v>
      </c>
      <c r="H48" s="7">
        <v>10</v>
      </c>
    </row>
    <row r="49" spans="2:8" x14ac:dyDescent="0.3">
      <c r="B49" s="7" t="str">
        <f>TEXT(datos[[#This Row],[Fecha]],"mmmm")</f>
        <v>Febrero</v>
      </c>
      <c r="C49" s="8">
        <v>45690</v>
      </c>
      <c r="D49" s="8" t="str">
        <f>TEXT(datos[[#This Row],[Fecha]],"dd")</f>
        <v>02</v>
      </c>
      <c r="E49" s="7" t="s">
        <v>6</v>
      </c>
      <c r="F49" s="13">
        <v>1</v>
      </c>
      <c r="G49" s="9" t="s">
        <v>57</v>
      </c>
      <c r="H49" s="7">
        <v>8</v>
      </c>
    </row>
    <row r="50" spans="2:8" x14ac:dyDescent="0.3">
      <c r="B50" s="7" t="str">
        <f>TEXT(datos[[#This Row],[Fecha]],"mmmm")</f>
        <v>Febrero</v>
      </c>
      <c r="C50" s="8">
        <v>45689</v>
      </c>
      <c r="D50" s="8" t="str">
        <f>TEXT(datos[[#This Row],[Fecha]],"dd")</f>
        <v>01</v>
      </c>
      <c r="E50" s="7" t="s">
        <v>3</v>
      </c>
      <c r="F50" s="13">
        <v>2</v>
      </c>
      <c r="G50" s="9" t="s">
        <v>57</v>
      </c>
      <c r="H50" s="7">
        <v>4</v>
      </c>
    </row>
    <row r="51" spans="2:8" x14ac:dyDescent="0.3">
      <c r="B51" s="7" t="str">
        <f>TEXT(datos[[#This Row],[Fecha]],"mmmm")</f>
        <v>Febrero</v>
      </c>
      <c r="C51" s="8">
        <v>45689</v>
      </c>
      <c r="D51" s="8" t="str">
        <f>TEXT(datos[[#This Row],[Fecha]],"dd")</f>
        <v>01</v>
      </c>
      <c r="E51" s="7" t="s">
        <v>3</v>
      </c>
      <c r="F51" s="13">
        <v>1</v>
      </c>
      <c r="G51" s="9" t="s">
        <v>53</v>
      </c>
      <c r="H51" s="7">
        <v>8</v>
      </c>
    </row>
    <row r="52" spans="2:8" x14ac:dyDescent="0.3">
      <c r="B52" s="7" t="str">
        <f>TEXT(datos[[#This Row],[Fecha]],"mmmm")</f>
        <v>Febrero</v>
      </c>
      <c r="C52" s="8">
        <v>45689</v>
      </c>
      <c r="D52" s="8" t="str">
        <f>TEXT(datos[[#This Row],[Fecha]],"dd")</f>
        <v>01</v>
      </c>
      <c r="E52" s="7" t="s">
        <v>9</v>
      </c>
      <c r="F52" s="13">
        <v>1</v>
      </c>
      <c r="G52" s="9" t="s">
        <v>50</v>
      </c>
      <c r="H52" s="7">
        <v>17</v>
      </c>
    </row>
    <row r="53" spans="2:8" x14ac:dyDescent="0.3">
      <c r="B53" s="7" t="str">
        <f>TEXT(datos[[#This Row],[Fecha]],"mmmm")</f>
        <v>Febrero</v>
      </c>
      <c r="C53" s="8">
        <v>45689</v>
      </c>
      <c r="D53" s="8" t="str">
        <f>TEXT(datos[[#This Row],[Fecha]],"dd")</f>
        <v>01</v>
      </c>
      <c r="E53" s="7" t="s">
        <v>8</v>
      </c>
      <c r="F53" s="13">
        <v>3</v>
      </c>
      <c r="G53" s="9" t="s">
        <v>56</v>
      </c>
      <c r="H53" s="7">
        <v>22</v>
      </c>
    </row>
    <row r="54" spans="2:8" x14ac:dyDescent="0.3">
      <c r="B54" s="7" t="str">
        <f>TEXT(datos[[#This Row],[Fecha]],"mmmm")</f>
        <v>Febrero</v>
      </c>
      <c r="C54" s="8">
        <v>45689</v>
      </c>
      <c r="D54" s="8" t="str">
        <f>TEXT(datos[[#This Row],[Fecha]],"dd")</f>
        <v>01</v>
      </c>
      <c r="E54" s="7" t="s">
        <v>8</v>
      </c>
      <c r="F54" s="13">
        <v>2</v>
      </c>
      <c r="G54" s="9" t="s">
        <v>50</v>
      </c>
      <c r="H54" s="7">
        <v>18.25</v>
      </c>
    </row>
    <row r="55" spans="2:8" x14ac:dyDescent="0.3">
      <c r="B55" s="7" t="str">
        <f>TEXT(datos[[#This Row],[Fecha]],"mmmm")</f>
        <v>Febrero</v>
      </c>
      <c r="C55" s="8">
        <v>45689</v>
      </c>
      <c r="D55" s="8" t="str">
        <f>TEXT(datos[[#This Row],[Fecha]],"dd")</f>
        <v>01</v>
      </c>
      <c r="E55" s="7" t="s">
        <v>8</v>
      </c>
      <c r="F55" s="13">
        <v>1</v>
      </c>
      <c r="G55" s="9" t="s">
        <v>51</v>
      </c>
      <c r="H55" s="7">
        <v>18</v>
      </c>
    </row>
    <row r="56" spans="2:8" x14ac:dyDescent="0.3">
      <c r="B56" s="7" t="str">
        <f>TEXT(datos[[#This Row],[Fecha]],"mmmm")</f>
        <v>Febrero</v>
      </c>
      <c r="C56" s="8">
        <v>45689</v>
      </c>
      <c r="D56" s="8" t="str">
        <f>TEXT(datos[[#This Row],[Fecha]],"dd")</f>
        <v>01</v>
      </c>
      <c r="E56" s="7" t="s">
        <v>7</v>
      </c>
      <c r="F56" s="13">
        <v>3</v>
      </c>
      <c r="G56" s="9" t="s">
        <v>51</v>
      </c>
      <c r="H56" s="7">
        <v>14</v>
      </c>
    </row>
    <row r="57" spans="2:8" x14ac:dyDescent="0.3">
      <c r="B57" s="7" t="str">
        <f>TEXT(datos[[#This Row],[Fecha]],"mmmm")</f>
        <v>Febrero</v>
      </c>
      <c r="C57" s="8">
        <v>45689</v>
      </c>
      <c r="D57" s="8" t="str">
        <f>TEXT(datos[[#This Row],[Fecha]],"dd")</f>
        <v>01</v>
      </c>
      <c r="E57" s="7" t="s">
        <v>7</v>
      </c>
      <c r="F57" s="13">
        <v>2</v>
      </c>
      <c r="G57" s="9" t="s">
        <v>51</v>
      </c>
      <c r="H57" s="7">
        <v>16</v>
      </c>
    </row>
    <row r="58" spans="2:8" x14ac:dyDescent="0.3">
      <c r="B58" s="7" t="str">
        <f>TEXT(datos[[#This Row],[Fecha]],"mmmm")</f>
        <v>Febrero</v>
      </c>
      <c r="C58" s="8">
        <v>45689</v>
      </c>
      <c r="D58" s="8" t="str">
        <f>TEXT(datos[[#This Row],[Fecha]],"dd")</f>
        <v>01</v>
      </c>
      <c r="E58" s="7" t="s">
        <v>7</v>
      </c>
      <c r="F58" s="13">
        <v>1</v>
      </c>
      <c r="G58" s="9" t="s">
        <v>58</v>
      </c>
      <c r="H58" s="7">
        <v>21</v>
      </c>
    </row>
    <row r="59" spans="2:8" x14ac:dyDescent="0.3">
      <c r="B59" s="7" t="str">
        <f>TEXT(datos[[#This Row],[Fecha]],"mmmm")</f>
        <v>Febrero</v>
      </c>
      <c r="C59" s="8">
        <v>45689</v>
      </c>
      <c r="D59" s="8" t="str">
        <f>TEXT(datos[[#This Row],[Fecha]],"dd")</f>
        <v>01</v>
      </c>
      <c r="E59" s="7" t="s">
        <v>6</v>
      </c>
      <c r="F59" s="13">
        <v>2</v>
      </c>
      <c r="G59" s="9" t="s">
        <v>58</v>
      </c>
      <c r="H59" s="7">
        <v>14</v>
      </c>
    </row>
    <row r="60" spans="2:8" x14ac:dyDescent="0.3">
      <c r="B60" s="7" t="str">
        <f>TEXT(datos[[#This Row],[Fecha]],"mmmm")</f>
        <v>Febrero</v>
      </c>
      <c r="C60" s="8">
        <v>45689</v>
      </c>
      <c r="D60" s="8" t="str">
        <f>TEXT(datos[[#This Row],[Fecha]],"dd")</f>
        <v>01</v>
      </c>
      <c r="E60" s="7" t="s">
        <v>6</v>
      </c>
      <c r="F60" s="13">
        <v>1</v>
      </c>
      <c r="G60" s="9" t="s">
        <v>50</v>
      </c>
      <c r="H60" s="7">
        <v>18</v>
      </c>
    </row>
    <row r="61" spans="2:8" x14ac:dyDescent="0.3">
      <c r="B61" s="7" t="str">
        <f>TEXT(datos[[#This Row],[Fecha]],"mmmm")</f>
        <v>Enero</v>
      </c>
      <c r="C61" s="8">
        <v>45660</v>
      </c>
      <c r="D61" s="8" t="str">
        <f>TEXT(datos[[#This Row],[Fecha]],"dd")</f>
        <v>03</v>
      </c>
      <c r="E61" s="7" t="s">
        <v>9</v>
      </c>
      <c r="F61" s="13">
        <v>2</v>
      </c>
      <c r="G61" s="9" t="s">
        <v>51</v>
      </c>
      <c r="H61" s="7">
        <v>7</v>
      </c>
    </row>
    <row r="62" spans="2:8" x14ac:dyDescent="0.3">
      <c r="B62" s="7" t="str">
        <f>TEXT(datos[[#This Row],[Fecha]],"mmmm")</f>
        <v>Enero</v>
      </c>
      <c r="C62" s="8">
        <v>45660</v>
      </c>
      <c r="D62" s="8" t="str">
        <f>TEXT(datos[[#This Row],[Fecha]],"dd")</f>
        <v>03</v>
      </c>
      <c r="E62" s="7" t="s">
        <v>9</v>
      </c>
      <c r="F62" s="13">
        <v>1</v>
      </c>
      <c r="G62" s="9" t="s">
        <v>51</v>
      </c>
      <c r="H62" s="7">
        <v>8</v>
      </c>
    </row>
    <row r="63" spans="2:8" x14ac:dyDescent="0.3">
      <c r="B63" s="7" t="str">
        <f>TEXT(datos[[#This Row],[Fecha]],"mmmm")</f>
        <v>Enero</v>
      </c>
      <c r="C63" s="8">
        <v>45660</v>
      </c>
      <c r="D63" s="8" t="str">
        <f>TEXT(datos[[#This Row],[Fecha]],"dd")</f>
        <v>03</v>
      </c>
      <c r="E63" s="7" t="s">
        <v>8</v>
      </c>
      <c r="F63" s="13">
        <v>4</v>
      </c>
      <c r="G63" s="9" t="s">
        <v>51</v>
      </c>
      <c r="H63" s="7">
        <v>19</v>
      </c>
    </row>
    <row r="64" spans="2:8" x14ac:dyDescent="0.3">
      <c r="B64" s="7" t="str">
        <f>TEXT(datos[[#This Row],[Fecha]],"mmmm")</f>
        <v>Enero</v>
      </c>
      <c r="C64" s="8">
        <v>45660</v>
      </c>
      <c r="D64" s="8" t="str">
        <f>TEXT(datos[[#This Row],[Fecha]],"dd")</f>
        <v>03</v>
      </c>
      <c r="E64" s="7" t="s">
        <v>8</v>
      </c>
      <c r="F64" s="13">
        <v>3</v>
      </c>
      <c r="G64" s="9" t="s">
        <v>57</v>
      </c>
      <c r="H64" s="7">
        <v>22</v>
      </c>
    </row>
    <row r="65" spans="2:8" x14ac:dyDescent="0.3">
      <c r="B65" s="7" t="str">
        <f>TEXT(datos[[#This Row],[Fecha]],"mmmm")</f>
        <v>Enero</v>
      </c>
      <c r="C65" s="8">
        <v>45660</v>
      </c>
      <c r="D65" s="8" t="str">
        <f>TEXT(datos[[#This Row],[Fecha]],"dd")</f>
        <v>03</v>
      </c>
      <c r="E65" s="7" t="s">
        <v>8</v>
      </c>
      <c r="F65" s="13">
        <v>2</v>
      </c>
      <c r="G65" s="9" t="s">
        <v>58</v>
      </c>
      <c r="H65" s="7">
        <v>17</v>
      </c>
    </row>
    <row r="66" spans="2:8" x14ac:dyDescent="0.3">
      <c r="B66" s="7" t="str">
        <f>TEXT(datos[[#This Row],[Fecha]],"mmmm")</f>
        <v>Enero</v>
      </c>
      <c r="C66" s="8">
        <v>45660</v>
      </c>
      <c r="D66" s="8" t="str">
        <f>TEXT(datos[[#This Row],[Fecha]],"dd")</f>
        <v>03</v>
      </c>
      <c r="E66" s="7" t="s">
        <v>8</v>
      </c>
      <c r="F66" s="13">
        <v>1</v>
      </c>
      <c r="G66" s="9" t="s">
        <v>58</v>
      </c>
      <c r="H66" s="7">
        <v>8</v>
      </c>
    </row>
    <row r="67" spans="2:8" x14ac:dyDescent="0.3">
      <c r="B67" s="7" t="str">
        <f>TEXT(datos[[#This Row],[Fecha]],"mmmm")</f>
        <v>Enero</v>
      </c>
      <c r="C67" s="8">
        <v>45660</v>
      </c>
      <c r="D67" s="8" t="str">
        <f>TEXT(datos[[#This Row],[Fecha]],"dd")</f>
        <v>03</v>
      </c>
      <c r="E67" s="7" t="s">
        <v>7</v>
      </c>
      <c r="F67" s="13">
        <v>3</v>
      </c>
      <c r="G67" s="9" t="s">
        <v>56</v>
      </c>
      <c r="H67" s="7">
        <v>15</v>
      </c>
    </row>
    <row r="68" spans="2:8" x14ac:dyDescent="0.3">
      <c r="B68" s="7" t="str">
        <f>TEXT(datos[[#This Row],[Fecha]],"mmmm")</f>
        <v>Enero</v>
      </c>
      <c r="C68" s="8">
        <v>45660</v>
      </c>
      <c r="D68" s="8" t="str">
        <f>TEXT(datos[[#This Row],[Fecha]],"dd")</f>
        <v>03</v>
      </c>
      <c r="E68" s="7" t="s">
        <v>7</v>
      </c>
      <c r="F68" s="13">
        <v>2</v>
      </c>
      <c r="G68" s="9" t="s">
        <v>57</v>
      </c>
      <c r="H68" s="7">
        <v>8</v>
      </c>
    </row>
    <row r="69" spans="2:8" x14ac:dyDescent="0.3">
      <c r="B69" s="7" t="str">
        <f>TEXT(datos[[#This Row],[Fecha]],"mmmm")</f>
        <v>Enero</v>
      </c>
      <c r="C69" s="8">
        <v>45660</v>
      </c>
      <c r="D69" s="8" t="str">
        <f>TEXT(datos[[#This Row],[Fecha]],"dd")</f>
        <v>03</v>
      </c>
      <c r="E69" s="7" t="s">
        <v>7</v>
      </c>
      <c r="F69" s="13">
        <v>1</v>
      </c>
      <c r="G69" s="9" t="s">
        <v>57</v>
      </c>
      <c r="H69" s="7">
        <v>5</v>
      </c>
    </row>
    <row r="70" spans="2:8" x14ac:dyDescent="0.3">
      <c r="B70" s="7" t="str">
        <f>TEXT(datos[[#This Row],[Fecha]],"mmmm")</f>
        <v>Enero</v>
      </c>
      <c r="C70" s="8">
        <v>45660</v>
      </c>
      <c r="D70" s="8" t="str">
        <f>TEXT(datos[[#This Row],[Fecha]],"dd")</f>
        <v>03</v>
      </c>
      <c r="E70" s="7" t="s">
        <v>6</v>
      </c>
      <c r="F70" s="13">
        <v>2</v>
      </c>
      <c r="G70" s="9" t="s">
        <v>53</v>
      </c>
      <c r="H70" s="7">
        <v>5</v>
      </c>
    </row>
    <row r="71" spans="2:8" x14ac:dyDescent="0.3">
      <c r="B71" s="7" t="str">
        <f>TEXT(datos[[#This Row],[Fecha]],"mmmm")</f>
        <v>Enero</v>
      </c>
      <c r="C71" s="8">
        <v>45660</v>
      </c>
      <c r="D71" s="8" t="str">
        <f>TEXT(datos[[#This Row],[Fecha]],"dd")</f>
        <v>03</v>
      </c>
      <c r="E71" s="7" t="s">
        <v>6</v>
      </c>
      <c r="F71" s="13">
        <v>1</v>
      </c>
      <c r="G71" s="9" t="s">
        <v>53</v>
      </c>
      <c r="H71" s="7">
        <v>23</v>
      </c>
    </row>
    <row r="72" spans="2:8" x14ac:dyDescent="0.3">
      <c r="B72" s="7" t="str">
        <f>TEXT(datos[[#This Row],[Fecha]],"mmmm")</f>
        <v>Enero</v>
      </c>
      <c r="C72" s="8">
        <v>45659</v>
      </c>
      <c r="D72" s="8" t="str">
        <f>TEXT(datos[[#This Row],[Fecha]],"dd")</f>
        <v>02</v>
      </c>
      <c r="E72" s="7" t="s">
        <v>3</v>
      </c>
      <c r="F72" s="13">
        <v>1</v>
      </c>
      <c r="G72" s="9" t="s">
        <v>50</v>
      </c>
      <c r="H72" s="7">
        <v>23</v>
      </c>
    </row>
    <row r="73" spans="2:8" x14ac:dyDescent="0.3">
      <c r="B73" s="7" t="str">
        <f>TEXT(datos[[#This Row],[Fecha]],"mmmm")</f>
        <v>Enero</v>
      </c>
      <c r="C73" s="8">
        <v>45659</v>
      </c>
      <c r="D73" s="8" t="str">
        <f>TEXT(datos[[#This Row],[Fecha]],"dd")</f>
        <v>02</v>
      </c>
      <c r="E73" s="7" t="s">
        <v>9</v>
      </c>
      <c r="F73" s="13">
        <v>2</v>
      </c>
      <c r="G73" s="9" t="s">
        <v>57</v>
      </c>
      <c r="H73" s="7">
        <v>9</v>
      </c>
    </row>
    <row r="74" spans="2:8" x14ac:dyDescent="0.3">
      <c r="B74" s="7" t="str">
        <f>TEXT(datos[[#This Row],[Fecha]],"mmmm")</f>
        <v>Enero</v>
      </c>
      <c r="C74" s="8">
        <v>45659</v>
      </c>
      <c r="D74" s="8" t="str">
        <f>TEXT(datos[[#This Row],[Fecha]],"dd")</f>
        <v>02</v>
      </c>
      <c r="E74" s="7" t="s">
        <v>9</v>
      </c>
      <c r="F74" s="13">
        <v>1</v>
      </c>
      <c r="G74" s="9" t="s">
        <v>50</v>
      </c>
      <c r="H74" s="7">
        <v>14</v>
      </c>
    </row>
    <row r="75" spans="2:8" x14ac:dyDescent="0.3">
      <c r="B75" s="7" t="str">
        <f>TEXT(datos[[#This Row],[Fecha]],"mmmm")</f>
        <v>Enero</v>
      </c>
      <c r="C75" s="8">
        <v>45659</v>
      </c>
      <c r="D75" s="8" t="str">
        <f>TEXT(datos[[#This Row],[Fecha]],"dd")</f>
        <v>02</v>
      </c>
      <c r="E75" s="7" t="s">
        <v>8</v>
      </c>
      <c r="F75" s="13">
        <v>2</v>
      </c>
      <c r="G75" s="9" t="s">
        <v>51</v>
      </c>
      <c r="H75" s="7">
        <v>40</v>
      </c>
    </row>
    <row r="76" spans="2:8" x14ac:dyDescent="0.3">
      <c r="B76" s="7" t="str">
        <f>TEXT(datos[[#This Row],[Fecha]],"mmmm")</f>
        <v>Enero</v>
      </c>
      <c r="C76" s="8">
        <v>45659</v>
      </c>
      <c r="D76" s="8" t="str">
        <f>TEXT(datos[[#This Row],[Fecha]],"dd")</f>
        <v>02</v>
      </c>
      <c r="E76" s="7" t="s">
        <v>8</v>
      </c>
      <c r="F76" s="13">
        <v>1</v>
      </c>
      <c r="G76" s="9" t="s">
        <v>52</v>
      </c>
      <c r="H76" s="7">
        <v>22</v>
      </c>
    </row>
    <row r="77" spans="2:8" x14ac:dyDescent="0.3">
      <c r="B77" s="7" t="str">
        <f>TEXT(datos[[#This Row],[Fecha]],"mmmm")</f>
        <v>Enero</v>
      </c>
      <c r="C77" s="8">
        <v>45659</v>
      </c>
      <c r="D77" s="8" t="str">
        <f>TEXT(datos[[#This Row],[Fecha]],"dd")</f>
        <v>02</v>
      </c>
      <c r="E77" s="7" t="s">
        <v>7</v>
      </c>
      <c r="F77" s="13">
        <v>1</v>
      </c>
      <c r="G77" s="9" t="s">
        <v>52</v>
      </c>
      <c r="H77" s="7">
        <v>14</v>
      </c>
    </row>
    <row r="78" spans="2:8" x14ac:dyDescent="0.3">
      <c r="B78" s="7" t="str">
        <f>TEXT(datos[[#This Row],[Fecha]],"mmmm")</f>
        <v>Enero</v>
      </c>
      <c r="C78" s="8">
        <v>45659</v>
      </c>
      <c r="D78" s="8" t="str">
        <f>TEXT(datos[[#This Row],[Fecha]],"dd")</f>
        <v>02</v>
      </c>
      <c r="E78" s="7" t="s">
        <v>6</v>
      </c>
      <c r="F78" s="13">
        <v>3</v>
      </c>
      <c r="G78" s="9" t="s">
        <v>51</v>
      </c>
      <c r="H78" s="7">
        <v>17</v>
      </c>
    </row>
    <row r="79" spans="2:8" x14ac:dyDescent="0.3">
      <c r="B79" s="7" t="str">
        <f>TEXT(datos[[#This Row],[Fecha]],"mmmm")</f>
        <v>Enero</v>
      </c>
      <c r="C79" s="8">
        <v>45659</v>
      </c>
      <c r="D79" s="8" t="str">
        <f>TEXT(datos[[#This Row],[Fecha]],"dd")</f>
        <v>02</v>
      </c>
      <c r="E79" s="7" t="s">
        <v>6</v>
      </c>
      <c r="F79" s="13">
        <v>1</v>
      </c>
      <c r="G79" s="9" t="s">
        <v>57</v>
      </c>
      <c r="H79" s="7">
        <v>8</v>
      </c>
    </row>
    <row r="80" spans="2:8" x14ac:dyDescent="0.3">
      <c r="B80" s="7" t="str">
        <f>TEXT(datos[[#This Row],[Fecha]],"mmmm")</f>
        <v>Enero</v>
      </c>
      <c r="C80" s="8">
        <v>45659</v>
      </c>
      <c r="D80" s="8" t="str">
        <f>TEXT(datos[[#This Row],[Fecha]],"dd")</f>
        <v>02</v>
      </c>
      <c r="E80" s="7" t="s">
        <v>6</v>
      </c>
      <c r="F80" s="13">
        <v>2</v>
      </c>
      <c r="G80" s="9" t="s">
        <v>50</v>
      </c>
      <c r="H80" s="7">
        <v>18</v>
      </c>
    </row>
    <row r="81" spans="2:8" x14ac:dyDescent="0.3">
      <c r="B81" s="7" t="str">
        <f>TEXT(datos[[#This Row],[Fecha]],"mmmm")</f>
        <v>Enero</v>
      </c>
      <c r="C81" s="8">
        <v>45659</v>
      </c>
      <c r="D81" s="8" t="str">
        <f>TEXT(datos[[#This Row],[Fecha]],"dd")</f>
        <v>02</v>
      </c>
      <c r="E81" s="7" t="s">
        <v>6</v>
      </c>
      <c r="F81" s="13">
        <v>1</v>
      </c>
      <c r="G81" s="9" t="s">
        <v>56</v>
      </c>
      <c r="H81" s="7">
        <v>10</v>
      </c>
    </row>
    <row r="82" spans="2:8" x14ac:dyDescent="0.3">
      <c r="B82" s="7" t="str">
        <f>TEXT(datos[[#This Row],[Fecha]],"mmmm")</f>
        <v>Enero</v>
      </c>
      <c r="C82" s="8">
        <v>45658</v>
      </c>
      <c r="D82" s="8" t="str">
        <f>TEXT(datos[[#This Row],[Fecha]],"dd")</f>
        <v>01</v>
      </c>
      <c r="E82" s="7" t="s">
        <v>3</v>
      </c>
      <c r="F82" s="13">
        <v>1</v>
      </c>
      <c r="G82" s="9" t="s">
        <v>57</v>
      </c>
      <c r="H82" s="7">
        <v>10</v>
      </c>
    </row>
    <row r="83" spans="2:8" x14ac:dyDescent="0.3">
      <c r="B83" s="7" t="str">
        <f>TEXT(datos[[#This Row],[Fecha]],"mmmm")</f>
        <v>Enero</v>
      </c>
      <c r="C83" s="8">
        <v>45658</v>
      </c>
      <c r="D83" s="8" t="str">
        <f>TEXT(datos[[#This Row],[Fecha]],"dd")</f>
        <v>01</v>
      </c>
      <c r="E83" s="7" t="s">
        <v>9</v>
      </c>
      <c r="F83" s="13">
        <v>2</v>
      </c>
      <c r="G83" s="9" t="s">
        <v>56</v>
      </c>
      <c r="H83" s="7">
        <v>12</v>
      </c>
    </row>
    <row r="84" spans="2:8" x14ac:dyDescent="0.3">
      <c r="B84" s="7" t="str">
        <f>TEXT(datos[[#This Row],[Fecha]],"mmmm")</f>
        <v>Enero</v>
      </c>
      <c r="C84" s="8">
        <v>45658</v>
      </c>
      <c r="D84" s="8" t="str">
        <f>TEXT(datos[[#This Row],[Fecha]],"dd")</f>
        <v>01</v>
      </c>
      <c r="E84" s="7" t="s">
        <v>9</v>
      </c>
      <c r="F84" s="13">
        <v>1</v>
      </c>
      <c r="G84" s="9" t="s">
        <v>57</v>
      </c>
      <c r="H84" s="7">
        <v>10</v>
      </c>
    </row>
    <row r="85" spans="2:8" x14ac:dyDescent="0.3">
      <c r="B85" s="7" t="str">
        <f>TEXT(datos[[#This Row],[Fecha]],"mmmm")</f>
        <v>Enero</v>
      </c>
      <c r="C85" s="8">
        <v>45658</v>
      </c>
      <c r="D85" s="8" t="str">
        <f>TEXT(datos[[#This Row],[Fecha]],"dd")</f>
        <v>01</v>
      </c>
      <c r="E85" s="7" t="s">
        <v>8</v>
      </c>
      <c r="F85" s="13">
        <v>3</v>
      </c>
      <c r="G85" s="9" t="s">
        <v>50</v>
      </c>
      <c r="H85" s="7">
        <v>18</v>
      </c>
    </row>
    <row r="86" spans="2:8" x14ac:dyDescent="0.3">
      <c r="B86" s="7" t="str">
        <f>TEXT(datos[[#This Row],[Fecha]],"mmmm")</f>
        <v>Enero</v>
      </c>
      <c r="C86" s="8">
        <v>45658</v>
      </c>
      <c r="D86" s="8" t="str">
        <f>TEXT(datos[[#This Row],[Fecha]],"dd")</f>
        <v>01</v>
      </c>
      <c r="E86" s="7" t="s">
        <v>8</v>
      </c>
      <c r="F86" s="13">
        <v>2</v>
      </c>
      <c r="G86" s="9" t="s">
        <v>52</v>
      </c>
      <c r="H86" s="7">
        <v>40</v>
      </c>
    </row>
    <row r="87" spans="2:8" x14ac:dyDescent="0.3">
      <c r="B87" s="7" t="str">
        <f>TEXT(datos[[#This Row],[Fecha]],"mmmm")</f>
        <v>Enero</v>
      </c>
      <c r="C87" s="8">
        <v>45658</v>
      </c>
      <c r="D87" s="8" t="str">
        <f>TEXT(datos[[#This Row],[Fecha]],"dd")</f>
        <v>01</v>
      </c>
      <c r="E87" s="7" t="s">
        <v>8</v>
      </c>
      <c r="F87" s="13">
        <v>1</v>
      </c>
      <c r="G87" s="9" t="s">
        <v>58</v>
      </c>
      <c r="H87" s="7">
        <v>20</v>
      </c>
    </row>
    <row r="88" spans="2:8" x14ac:dyDescent="0.3">
      <c r="B88" s="7" t="str">
        <f>TEXT(datos[[#This Row],[Fecha]],"mmmm")</f>
        <v>Enero</v>
      </c>
      <c r="C88" s="8">
        <v>45658</v>
      </c>
      <c r="D88" s="8" t="str">
        <f>TEXT(datos[[#This Row],[Fecha]],"dd")</f>
        <v>01</v>
      </c>
      <c r="E88" s="7" t="s">
        <v>7</v>
      </c>
      <c r="F88" s="13">
        <v>1</v>
      </c>
      <c r="G88" s="9" t="s">
        <v>51</v>
      </c>
      <c r="H88" s="7">
        <v>15</v>
      </c>
    </row>
    <row r="89" spans="2:8" x14ac:dyDescent="0.3">
      <c r="B89" s="7" t="str">
        <f>TEXT(datos[[#This Row],[Fecha]],"mmmm")</f>
        <v>Enero</v>
      </c>
      <c r="C89" s="8">
        <v>45658</v>
      </c>
      <c r="D89" s="8" t="str">
        <f>TEXT(datos[[#This Row],[Fecha]],"dd")</f>
        <v>01</v>
      </c>
      <c r="E89" s="7" t="s">
        <v>6</v>
      </c>
      <c r="F89" s="13">
        <v>1</v>
      </c>
      <c r="G89" s="9" t="s">
        <v>50</v>
      </c>
      <c r="H89" s="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B82C5-5CA9-4F18-8849-8076F5FAE7F2}">
  <sheetPr codeName="Hoja4"/>
  <dimension ref="AA59"/>
  <sheetViews>
    <sheetView showGridLines="0" zoomScale="70" zoomScaleNormal="70" workbookViewId="0">
      <selection activeCell="W18" sqref="W18"/>
    </sheetView>
  </sheetViews>
  <sheetFormatPr baseColWidth="10" defaultRowHeight="14.4" x14ac:dyDescent="0.3"/>
  <cols>
    <col min="1" max="6" width="11.5546875" style="11"/>
    <col min="7" max="7" width="11.5546875" style="11" customWidth="1"/>
    <col min="8" max="16384" width="11.5546875" style="11"/>
  </cols>
  <sheetData>
    <row r="59" spans="27:27" x14ac:dyDescent="0.3">
      <c r="AA59" s="11" t="s">
        <v>4</v>
      </c>
    </row>
  </sheetData>
  <pageMargins left="0.7" right="0.7" top="0.75" bottom="0.75" header="0.3" footer="0.3"/>
  <drawing r:id="rId1"/>
  <legacy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C3E14-D36F-4968-A305-A37C6194AD94}">
  <sheetPr codeName="Hoja1"/>
  <dimension ref="A1:R81"/>
  <sheetViews>
    <sheetView workbookViewId="0">
      <selection activeCell="E10" sqref="E10"/>
    </sheetView>
  </sheetViews>
  <sheetFormatPr baseColWidth="10" defaultRowHeight="14.4" x14ac:dyDescent="0.3"/>
  <cols>
    <col min="2" max="3" width="16.5546875" bestFit="1" customWidth="1"/>
    <col min="4" max="4" width="18.109375" bestFit="1" customWidth="1"/>
    <col min="5" max="5" width="20.5546875" bestFit="1" customWidth="1"/>
    <col min="6" max="6" width="11.5546875" style="18"/>
    <col min="8" max="8" width="16.5546875" bestFit="1" customWidth="1"/>
    <col min="9" max="9" width="18.109375" bestFit="1" customWidth="1"/>
    <col min="11" max="11" width="11.5546875" style="18"/>
    <col min="13" max="13" width="16.5546875" bestFit="1" customWidth="1"/>
    <col min="14" max="14" width="17.21875" bestFit="1" customWidth="1"/>
    <col min="15" max="15" width="16.88671875" bestFit="1" customWidth="1"/>
  </cols>
  <sheetData>
    <row r="1" spans="3:11" x14ac:dyDescent="0.3">
      <c r="F1"/>
      <c r="K1"/>
    </row>
    <row r="2" spans="3:11" x14ac:dyDescent="0.3">
      <c r="F2"/>
      <c r="K2"/>
    </row>
    <row r="3" spans="3:11" x14ac:dyDescent="0.3">
      <c r="C3" s="9" t="s">
        <v>5</v>
      </c>
      <c r="E3" s="9" t="s">
        <v>35</v>
      </c>
      <c r="F3"/>
      <c r="G3" t="s">
        <v>34</v>
      </c>
      <c r="K3"/>
    </row>
    <row r="4" spans="3:11" x14ac:dyDescent="0.3">
      <c r="C4" t="s">
        <v>6</v>
      </c>
      <c r="E4">
        <v>1</v>
      </c>
      <c r="F4"/>
      <c r="G4" t="s">
        <v>50</v>
      </c>
      <c r="K4"/>
    </row>
    <row r="5" spans="3:11" x14ac:dyDescent="0.3">
      <c r="C5" t="s">
        <v>7</v>
      </c>
      <c r="E5">
        <v>2</v>
      </c>
      <c r="F5"/>
      <c r="G5" t="s">
        <v>51</v>
      </c>
      <c r="K5"/>
    </row>
    <row r="6" spans="3:11" x14ac:dyDescent="0.3">
      <c r="C6" t="s">
        <v>8</v>
      </c>
      <c r="E6">
        <v>3</v>
      </c>
      <c r="F6"/>
      <c r="G6" t="s">
        <v>52</v>
      </c>
      <c r="K6"/>
    </row>
    <row r="7" spans="3:11" x14ac:dyDescent="0.3">
      <c r="C7" t="s">
        <v>9</v>
      </c>
      <c r="E7">
        <v>4</v>
      </c>
      <c r="F7"/>
      <c r="G7" t="s">
        <v>53</v>
      </c>
      <c r="K7"/>
    </row>
    <row r="8" spans="3:11" x14ac:dyDescent="0.3">
      <c r="C8" t="s">
        <v>3</v>
      </c>
      <c r="E8">
        <v>5</v>
      </c>
      <c r="F8"/>
      <c r="G8" t="s">
        <v>54</v>
      </c>
      <c r="K8"/>
    </row>
    <row r="9" spans="3:11" x14ac:dyDescent="0.3">
      <c r="E9">
        <v>6</v>
      </c>
      <c r="F9"/>
      <c r="G9" t="s">
        <v>55</v>
      </c>
      <c r="K9"/>
    </row>
    <row r="10" spans="3:11" x14ac:dyDescent="0.3">
      <c r="E10">
        <v>7</v>
      </c>
      <c r="F10"/>
      <c r="G10" t="s">
        <v>56</v>
      </c>
      <c r="K10"/>
    </row>
    <row r="11" spans="3:11" x14ac:dyDescent="0.3">
      <c r="E11">
        <v>8</v>
      </c>
      <c r="F11"/>
      <c r="K11"/>
    </row>
    <row r="12" spans="3:11" x14ac:dyDescent="0.3">
      <c r="E12">
        <v>9</v>
      </c>
      <c r="F12"/>
      <c r="K12"/>
    </row>
    <row r="13" spans="3:11" x14ac:dyDescent="0.3">
      <c r="E13">
        <v>10</v>
      </c>
      <c r="F13"/>
      <c r="K13"/>
    </row>
    <row r="14" spans="3:11" x14ac:dyDescent="0.3">
      <c r="F14"/>
      <c r="K14"/>
    </row>
    <row r="15" spans="3:11" x14ac:dyDescent="0.3">
      <c r="F15"/>
      <c r="K15"/>
    </row>
    <row r="16" spans="3:11" x14ac:dyDescent="0.3">
      <c r="F16"/>
      <c r="K16"/>
    </row>
    <row r="17" spans="1:17" s="14" customFormat="1" x14ac:dyDescent="0.3"/>
    <row r="19" spans="1:17" x14ac:dyDescent="0.3">
      <c r="C19" s="15" t="s">
        <v>13</v>
      </c>
      <c r="D19" t="s">
        <v>15</v>
      </c>
      <c r="H19" s="15" t="s">
        <v>13</v>
      </c>
      <c r="I19" t="s">
        <v>15</v>
      </c>
      <c r="M19" s="15" t="s">
        <v>13</v>
      </c>
      <c r="N19" t="s">
        <v>37</v>
      </c>
    </row>
    <row r="20" spans="1:17" x14ac:dyDescent="0.3">
      <c r="C20" s="16" t="s">
        <v>3</v>
      </c>
      <c r="D20" s="10">
        <v>33</v>
      </c>
      <c r="H20" s="16" t="s">
        <v>17</v>
      </c>
      <c r="I20" s="10">
        <v>457</v>
      </c>
      <c r="M20" s="16" t="s">
        <v>3</v>
      </c>
      <c r="N20" s="28">
        <v>2</v>
      </c>
      <c r="P20" t="str">
        <f>M20</f>
        <v>Otros</v>
      </c>
      <c r="Q20">
        <f>N20</f>
        <v>2</v>
      </c>
    </row>
    <row r="21" spans="1:17" x14ac:dyDescent="0.3">
      <c r="C21" s="16" t="s">
        <v>7</v>
      </c>
      <c r="D21" s="10">
        <v>57</v>
      </c>
      <c r="H21" s="16" t="s">
        <v>18</v>
      </c>
      <c r="I21" s="10">
        <v>521.25</v>
      </c>
      <c r="M21" s="16" t="s">
        <v>7</v>
      </c>
      <c r="N21" s="28">
        <v>5</v>
      </c>
      <c r="P21" t="str">
        <f t="shared" ref="P21:P24" si="0">M21</f>
        <v>Altoke</v>
      </c>
      <c r="Q21">
        <f t="shared" ref="Q21:Q24" si="1">N21</f>
        <v>5</v>
      </c>
    </row>
    <row r="22" spans="1:17" x14ac:dyDescent="0.3">
      <c r="C22" s="16" t="s">
        <v>9</v>
      </c>
      <c r="D22" s="10">
        <v>60</v>
      </c>
      <c r="H22" s="16" t="s">
        <v>19</v>
      </c>
      <c r="I22" s="10">
        <v>514</v>
      </c>
      <c r="M22" s="16" t="s">
        <v>9</v>
      </c>
      <c r="N22" s="28">
        <v>6</v>
      </c>
      <c r="P22" t="str">
        <f t="shared" si="0"/>
        <v>Rayo</v>
      </c>
      <c r="Q22">
        <f t="shared" si="1"/>
        <v>6</v>
      </c>
    </row>
    <row r="23" spans="1:17" x14ac:dyDescent="0.3">
      <c r="C23" s="16" t="s">
        <v>6</v>
      </c>
      <c r="D23" s="10">
        <v>101</v>
      </c>
      <c r="H23" s="16" t="s">
        <v>14</v>
      </c>
      <c r="I23" s="10">
        <v>1492.25</v>
      </c>
      <c r="M23" s="16" t="s">
        <v>6</v>
      </c>
      <c r="N23" s="28">
        <v>7</v>
      </c>
      <c r="P23" t="str">
        <f t="shared" si="0"/>
        <v>Rappi Manchay</v>
      </c>
      <c r="Q23">
        <f t="shared" si="1"/>
        <v>7</v>
      </c>
    </row>
    <row r="24" spans="1:17" x14ac:dyDescent="0.3">
      <c r="C24" s="16" t="s">
        <v>8</v>
      </c>
      <c r="D24" s="10">
        <v>206</v>
      </c>
      <c r="M24" s="16" t="s">
        <v>8</v>
      </c>
      <c r="N24" s="28">
        <v>9</v>
      </c>
      <c r="P24" t="str">
        <f t="shared" si="0"/>
        <v>Escorpio</v>
      </c>
      <c r="Q24">
        <f t="shared" si="1"/>
        <v>9</v>
      </c>
    </row>
    <row r="25" spans="1:17" x14ac:dyDescent="0.3">
      <c r="C25" s="16" t="s">
        <v>14</v>
      </c>
      <c r="D25" s="10">
        <v>457</v>
      </c>
      <c r="M25" s="16" t="s">
        <v>14</v>
      </c>
      <c r="N25" s="28">
        <v>29</v>
      </c>
    </row>
    <row r="26" spans="1:17" x14ac:dyDescent="0.3">
      <c r="H26" s="17" t="s">
        <v>20</v>
      </c>
      <c r="I26" s="21" t="s">
        <v>60</v>
      </c>
    </row>
    <row r="27" spans="1:17" x14ac:dyDescent="0.3">
      <c r="C27" s="17" t="s">
        <v>16</v>
      </c>
      <c r="D27" s="21" t="s">
        <v>59</v>
      </c>
      <c r="M27" s="17" t="s">
        <v>61</v>
      </c>
      <c r="N27" s="21" t="s">
        <v>62</v>
      </c>
    </row>
    <row r="31" spans="1:17" s="18" customFormat="1" x14ac:dyDescent="0.3">
      <c r="A31"/>
      <c r="B31"/>
      <c r="C31"/>
      <c r="D31"/>
      <c r="E31"/>
    </row>
    <row r="32" spans="1:17" s="18" customFormat="1" x14ac:dyDescent="0.3">
      <c r="A32"/>
      <c r="B32" s="15" t="s">
        <v>13</v>
      </c>
      <c r="C32" t="s">
        <v>15</v>
      </c>
      <c r="D32" t="s">
        <v>37</v>
      </c>
      <c r="E32"/>
    </row>
    <row r="33" spans="2:16" x14ac:dyDescent="0.3">
      <c r="B33" s="16" t="s">
        <v>7</v>
      </c>
      <c r="C33" s="10">
        <v>57</v>
      </c>
      <c r="D33" s="28">
        <v>5</v>
      </c>
      <c r="H33" s="21" t="s">
        <v>26</v>
      </c>
      <c r="M33" s="21" t="s">
        <v>38</v>
      </c>
    </row>
    <row r="34" spans="2:16" x14ac:dyDescent="0.3">
      <c r="B34" s="16" t="s">
        <v>8</v>
      </c>
      <c r="C34" s="10">
        <v>206</v>
      </c>
      <c r="D34" s="28">
        <v>9</v>
      </c>
      <c r="M34" s="22" t="s">
        <v>35</v>
      </c>
    </row>
    <row r="35" spans="2:16" x14ac:dyDescent="0.3">
      <c r="B35" s="16" t="s">
        <v>3</v>
      </c>
      <c r="C35" s="10">
        <v>33</v>
      </c>
      <c r="D35" s="28">
        <v>2</v>
      </c>
      <c r="H35" s="15" t="s">
        <v>13</v>
      </c>
      <c r="I35" t="s">
        <v>34</v>
      </c>
    </row>
    <row r="36" spans="2:16" x14ac:dyDescent="0.3">
      <c r="B36" s="16" t="s">
        <v>6</v>
      </c>
      <c r="C36" s="10">
        <v>101</v>
      </c>
      <c r="D36" s="28">
        <v>7</v>
      </c>
      <c r="H36" s="16" t="s">
        <v>7</v>
      </c>
      <c r="I36" t="str">
        <f>VLOOKUP(H36,$H$43:$I$48,2,FALSE)</f>
        <v>altoke</v>
      </c>
      <c r="M36" s="15" t="s">
        <v>13</v>
      </c>
      <c r="N36" t="s">
        <v>37</v>
      </c>
      <c r="P36" s="12" t="s">
        <v>10</v>
      </c>
    </row>
    <row r="37" spans="2:16" x14ac:dyDescent="0.3">
      <c r="B37" s="16" t="s">
        <v>9</v>
      </c>
      <c r="C37" s="10">
        <v>60</v>
      </c>
      <c r="D37" s="28">
        <v>6</v>
      </c>
      <c r="M37" s="16" t="s">
        <v>7</v>
      </c>
      <c r="N37" s="28">
        <v>5</v>
      </c>
      <c r="P37">
        <f>$N$37</f>
        <v>5</v>
      </c>
    </row>
    <row r="38" spans="2:16" x14ac:dyDescent="0.3">
      <c r="B38" s="16" t="s">
        <v>14</v>
      </c>
      <c r="C38" s="10">
        <v>457</v>
      </c>
      <c r="D38" s="28">
        <v>29</v>
      </c>
      <c r="M38" s="16" t="s">
        <v>14</v>
      </c>
      <c r="N38" s="28">
        <v>5</v>
      </c>
      <c r="P38" s="12"/>
    </row>
    <row r="40" spans="2:16" x14ac:dyDescent="0.3">
      <c r="B40" s="19" t="s">
        <v>21</v>
      </c>
    </row>
    <row r="42" spans="2:16" x14ac:dyDescent="0.3">
      <c r="B42" t="s">
        <v>11</v>
      </c>
      <c r="C42" s="20">
        <f>GETPIVOTDATA("Suma de Total Cobro",$B$32)</f>
        <v>457</v>
      </c>
    </row>
    <row r="43" spans="2:16" x14ac:dyDescent="0.3">
      <c r="B43" t="s">
        <v>22</v>
      </c>
      <c r="C43">
        <f>GETPIVOTDATA("Cuenta de Entrega Nº",$B$32)</f>
        <v>29</v>
      </c>
      <c r="H43" s="16" t="s">
        <v>27</v>
      </c>
      <c r="I43" t="s">
        <v>28</v>
      </c>
    </row>
    <row r="44" spans="2:16" x14ac:dyDescent="0.3">
      <c r="H44" s="16" t="s">
        <v>7</v>
      </c>
      <c r="I44" t="s">
        <v>29</v>
      </c>
      <c r="M44" s="19" t="s">
        <v>39</v>
      </c>
      <c r="P44" s="10"/>
    </row>
    <row r="45" spans="2:16" x14ac:dyDescent="0.3">
      <c r="H45" s="16" t="s">
        <v>8</v>
      </c>
      <c r="I45" t="s">
        <v>30</v>
      </c>
    </row>
    <row r="46" spans="2:16" x14ac:dyDescent="0.3">
      <c r="B46" s="15" t="s">
        <v>13</v>
      </c>
      <c r="C46" t="s">
        <v>37</v>
      </c>
      <c r="H46" s="16" t="s">
        <v>3</v>
      </c>
      <c r="I46" t="s">
        <v>31</v>
      </c>
      <c r="M46" s="15" t="s">
        <v>13</v>
      </c>
      <c r="N46" t="s">
        <v>15</v>
      </c>
      <c r="P46" t="s">
        <v>40</v>
      </c>
    </row>
    <row r="47" spans="2:16" x14ac:dyDescent="0.3">
      <c r="B47" s="16" t="s">
        <v>7</v>
      </c>
      <c r="C47" s="28">
        <v>5</v>
      </c>
      <c r="H47" s="16" t="s">
        <v>6</v>
      </c>
      <c r="I47" t="s">
        <v>33</v>
      </c>
      <c r="M47" s="16" t="s">
        <v>7</v>
      </c>
      <c r="N47" s="10">
        <v>57</v>
      </c>
      <c r="P47" s="10">
        <f>$N$47</f>
        <v>57</v>
      </c>
    </row>
    <row r="48" spans="2:16" x14ac:dyDescent="0.3">
      <c r="B48" s="16" t="s">
        <v>8</v>
      </c>
      <c r="C48" s="28">
        <v>9</v>
      </c>
      <c r="H48" s="16" t="s">
        <v>9</v>
      </c>
      <c r="I48" t="s">
        <v>32</v>
      </c>
      <c r="M48" s="16" t="s">
        <v>14</v>
      </c>
      <c r="N48" s="10">
        <v>57</v>
      </c>
    </row>
    <row r="49" spans="1:18" x14ac:dyDescent="0.3">
      <c r="B49" s="16" t="s">
        <v>3</v>
      </c>
      <c r="C49" s="28">
        <v>2</v>
      </c>
    </row>
    <row r="50" spans="1:18" x14ac:dyDescent="0.3">
      <c r="B50" s="16" t="s">
        <v>6</v>
      </c>
      <c r="C50" s="28">
        <v>7</v>
      </c>
    </row>
    <row r="51" spans="1:18" x14ac:dyDescent="0.3">
      <c r="B51" s="16" t="s">
        <v>9</v>
      </c>
      <c r="C51" s="28">
        <v>6</v>
      </c>
    </row>
    <row r="52" spans="1:18" x14ac:dyDescent="0.3">
      <c r="B52" s="16" t="s">
        <v>14</v>
      </c>
      <c r="C52" s="28">
        <v>29</v>
      </c>
    </row>
    <row r="54" spans="1:18" x14ac:dyDescent="0.3">
      <c r="B54" s="19" t="s">
        <v>21</v>
      </c>
      <c r="M54" s="19" t="s">
        <v>43</v>
      </c>
    </row>
    <row r="56" spans="1:18" x14ac:dyDescent="0.3">
      <c r="B56" t="s">
        <v>23</v>
      </c>
      <c r="C56" s="12">
        <f>MAX(C47:C51)</f>
        <v>9</v>
      </c>
      <c r="D56" t="str">
        <f>INDEX(B47:B51,MATCH(MAX(C47:C51),C47:C51,0))</f>
        <v>Escorpio</v>
      </c>
      <c r="M56" s="15" t="s">
        <v>13</v>
      </c>
      <c r="N56" t="s">
        <v>41</v>
      </c>
      <c r="O56" t="s">
        <v>42</v>
      </c>
      <c r="Q56" t="s">
        <v>45</v>
      </c>
      <c r="R56" t="s">
        <v>44</v>
      </c>
    </row>
    <row r="57" spans="1:18" x14ac:dyDescent="0.3">
      <c r="M57" s="16" t="s">
        <v>7</v>
      </c>
      <c r="N57" s="10">
        <v>15</v>
      </c>
      <c r="O57" s="10">
        <v>5</v>
      </c>
      <c r="Q57" s="10">
        <f>$O$57</f>
        <v>5</v>
      </c>
      <c r="R57" s="10">
        <f>$N$57</f>
        <v>15</v>
      </c>
    </row>
    <row r="58" spans="1:18" x14ac:dyDescent="0.3">
      <c r="B58" t="s">
        <v>24</v>
      </c>
      <c r="C58" s="12">
        <f>AVERAGE(C47:C51)</f>
        <v>5.8</v>
      </c>
      <c r="M58" s="16" t="s">
        <v>14</v>
      </c>
      <c r="N58" s="10">
        <v>15</v>
      </c>
      <c r="O58" s="10">
        <v>5</v>
      </c>
    </row>
    <row r="59" spans="1:18" x14ac:dyDescent="0.3">
      <c r="B59" t="s">
        <v>25</v>
      </c>
    </row>
    <row r="61" spans="1:18" x14ac:dyDescent="0.3">
      <c r="A61" s="18"/>
      <c r="B61" s="18"/>
      <c r="C61" s="18"/>
      <c r="D61" s="18"/>
      <c r="E61" s="18"/>
      <c r="G61" s="18"/>
      <c r="H61" s="18"/>
      <c r="I61" s="18"/>
      <c r="J61" s="18"/>
    </row>
    <row r="64" spans="1:18" x14ac:dyDescent="0.3">
      <c r="M64" s="19" t="s">
        <v>46</v>
      </c>
    </row>
    <row r="66" spans="13:15" x14ac:dyDescent="0.3">
      <c r="M66" s="15" t="s">
        <v>13</v>
      </c>
      <c r="N66" t="s">
        <v>37</v>
      </c>
    </row>
    <row r="67" spans="13:15" x14ac:dyDescent="0.3">
      <c r="M67" s="16" t="s">
        <v>7</v>
      </c>
      <c r="N67" s="28">
        <v>17</v>
      </c>
    </row>
    <row r="68" spans="13:15" x14ac:dyDescent="0.3">
      <c r="M68" s="16" t="s">
        <v>8</v>
      </c>
      <c r="N68" s="28">
        <v>26</v>
      </c>
    </row>
    <row r="69" spans="13:15" x14ac:dyDescent="0.3">
      <c r="M69" s="16" t="s">
        <v>3</v>
      </c>
      <c r="N69" s="28">
        <v>9</v>
      </c>
    </row>
    <row r="70" spans="13:15" x14ac:dyDescent="0.3">
      <c r="M70" s="16" t="s">
        <v>6</v>
      </c>
      <c r="N70" s="28">
        <v>21</v>
      </c>
    </row>
    <row r="71" spans="13:15" x14ac:dyDescent="0.3">
      <c r="M71" s="16" t="s">
        <v>9</v>
      </c>
      <c r="N71" s="28">
        <v>14</v>
      </c>
    </row>
    <row r="72" spans="13:15" x14ac:dyDescent="0.3">
      <c r="M72" s="16" t="s">
        <v>14</v>
      </c>
      <c r="N72" s="28">
        <v>87</v>
      </c>
    </row>
    <row r="73" spans="13:15" x14ac:dyDescent="0.3">
      <c r="N73" s="9"/>
    </row>
    <row r="74" spans="13:15" x14ac:dyDescent="0.3">
      <c r="M74" t="s">
        <v>29</v>
      </c>
      <c r="N74">
        <f>N67</f>
        <v>17</v>
      </c>
      <c r="O74" s="23">
        <f>(N74/$N$79)</f>
        <v>0.19540229885057472</v>
      </c>
    </row>
    <row r="75" spans="13:15" x14ac:dyDescent="0.3">
      <c r="M75" t="s">
        <v>30</v>
      </c>
      <c r="N75">
        <f t="shared" ref="N75" si="2">N68</f>
        <v>26</v>
      </c>
      <c r="O75" s="23">
        <f t="shared" ref="O75:O79" si="3">(N75/$N$79)</f>
        <v>0.2988505747126437</v>
      </c>
    </row>
    <row r="76" spans="13:15" x14ac:dyDescent="0.3">
      <c r="M76" t="s">
        <v>31</v>
      </c>
      <c r="N76">
        <f t="shared" ref="N76" si="4">N69</f>
        <v>9</v>
      </c>
      <c r="O76" s="23">
        <f t="shared" si="3"/>
        <v>0.10344827586206896</v>
      </c>
    </row>
    <row r="77" spans="13:15" x14ac:dyDescent="0.3">
      <c r="M77" t="s">
        <v>33</v>
      </c>
      <c r="N77">
        <f t="shared" ref="N77" si="5">N70</f>
        <v>21</v>
      </c>
      <c r="O77" s="23">
        <f t="shared" si="3"/>
        <v>0.2413793103448276</v>
      </c>
    </row>
    <row r="78" spans="13:15" x14ac:dyDescent="0.3">
      <c r="M78" t="s">
        <v>32</v>
      </c>
      <c r="N78">
        <f>N71</f>
        <v>14</v>
      </c>
      <c r="O78" s="23">
        <f t="shared" si="3"/>
        <v>0.16091954022988506</v>
      </c>
    </row>
    <row r="79" spans="13:15" x14ac:dyDescent="0.3">
      <c r="M79" t="s">
        <v>47</v>
      </c>
      <c r="N79">
        <f>N72</f>
        <v>87</v>
      </c>
      <c r="O79" s="23">
        <f t="shared" si="3"/>
        <v>1</v>
      </c>
    </row>
    <row r="81" spans="13:14" x14ac:dyDescent="0.3">
      <c r="M81" s="24" t="str">
        <f>I36</f>
        <v>altoke</v>
      </c>
      <c r="N81" s="25">
        <f>VLOOKUP(M81,M74:O79,3,FALSE)</f>
        <v>0.19540229885057472</v>
      </c>
    </row>
  </sheetData>
  <pageMargins left="0.7" right="0.7" top="0.75" bottom="0.75" header="0.3" footer="0.3"/>
  <tableParts count="3">
    <tablePart r:id="rId11"/>
    <tablePart r:id="rId12"/>
    <tablePart r:id="rId1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4C21-D96C-41A2-A918-AF6D4B613F85}">
  <sheetPr codeName="Hoja5"/>
  <dimension ref="A1:A6"/>
  <sheetViews>
    <sheetView showGridLines="0" workbookViewId="0"/>
  </sheetViews>
  <sheetFormatPr baseColWidth="10" defaultRowHeight="14.4" x14ac:dyDescent="0.3"/>
  <cols>
    <col min="1" max="1" width="15.6640625" customWidth="1"/>
  </cols>
  <sheetData>
    <row r="1" ht="69" customHeight="1" x14ac:dyDescent="0.3"/>
    <row r="2" ht="69" customHeight="1" x14ac:dyDescent="0.3"/>
    <row r="3" ht="69" customHeight="1" x14ac:dyDescent="0.3"/>
    <row r="4" ht="69" customHeight="1" x14ac:dyDescent="0.3"/>
    <row r="5" ht="69" customHeight="1" x14ac:dyDescent="0.3"/>
    <row r="6" ht="69" customHeight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B63F416350C06438379DCACC8E89147" ma:contentTypeVersion="12" ma:contentTypeDescription="Crear nuevo documento." ma:contentTypeScope="" ma:versionID="148cd56d20e630be68ae916a1264685a">
  <xsd:schema xmlns:xsd="http://www.w3.org/2001/XMLSchema" xmlns:xs="http://www.w3.org/2001/XMLSchema" xmlns:p="http://schemas.microsoft.com/office/2006/metadata/properties" xmlns:ns3="cfe69bab-cb99-496a-a7a8-119250e6c8eb" xmlns:ns4="f0bcb93f-dc13-4662-a7e9-0f6d172086b2" targetNamespace="http://schemas.microsoft.com/office/2006/metadata/properties" ma:root="true" ma:fieldsID="7ed2b55856425a7fc2237d1df4d20533" ns3:_="" ns4:_="">
    <xsd:import namespace="cfe69bab-cb99-496a-a7a8-119250e6c8eb"/>
    <xsd:import namespace="f0bcb93f-dc13-4662-a7e9-0f6d172086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e69bab-cb99-496a-a7a8-119250e6c8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bcb93f-dc13-4662-a7e9-0f6d172086b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fe69bab-cb99-496a-a7a8-119250e6c8e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08F4AF-4C61-4D7A-A83F-DF9B2F35A6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e69bab-cb99-496a-a7a8-119250e6c8eb"/>
    <ds:schemaRef ds:uri="f0bcb93f-dc13-4662-a7e9-0f6d172086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4987004-4BE6-407C-9326-82ACCCBBE515}">
  <ds:schemaRefs>
    <ds:schemaRef ds:uri="f0bcb93f-dc13-4662-a7e9-0f6d172086b2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cfe69bab-cb99-496a-a7a8-119250e6c8eb"/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8F23190-5B10-4654-B53C-28A28637DF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Formulario</vt:lpstr>
      <vt:lpstr>Registro</vt:lpstr>
      <vt:lpstr>Dashboard</vt:lpstr>
      <vt:lpstr>Categoria</vt:lpstr>
      <vt:lpstr>imagenes</vt:lpstr>
      <vt:lpstr>altoke</vt:lpstr>
      <vt:lpstr>entregas</vt:lpstr>
      <vt:lpstr>escorpio</vt:lpstr>
      <vt:lpstr>motorizado</vt:lpstr>
      <vt:lpstr>otros</vt:lpstr>
      <vt:lpstr>productos</vt:lpstr>
      <vt:lpstr>rappi</vt:lpstr>
      <vt:lpstr>rayo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ALDAIR JESUS YAURI ALTAMIRANO</dc:creator>
  <cp:lastModifiedBy>Aldair Jesus Yauri</cp:lastModifiedBy>
  <dcterms:created xsi:type="dcterms:W3CDTF">2025-01-17T15:58:45Z</dcterms:created>
  <dcterms:modified xsi:type="dcterms:W3CDTF">2025-06-18T01:09:14Z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0x0101007B63F416350C06438379DCACC8E89147</vt:lpwstr>
  </property>
</Properties>
</file>